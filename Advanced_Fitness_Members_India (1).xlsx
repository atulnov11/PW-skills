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tul\Downloads\"/>
    </mc:Choice>
  </mc:AlternateContent>
  <xr:revisionPtr revIDLastSave="0" documentId="13_ncr:1_{88DF5730-A195-44FA-AB61-02E75846C3DE}" xr6:coauthVersionLast="47" xr6:coauthVersionMax="47" xr10:uidLastSave="{00000000-0000-0000-0000-000000000000}"/>
  <bookViews>
    <workbookView xWindow="-108" yWindow="-108" windowWidth="23256" windowHeight="12456" xr2:uid="{00000000-000D-0000-FFFF-FFFF00000000}"/>
  </bookViews>
  <sheets>
    <sheet name="Sheet1" sheetId="1" r:id="rId1"/>
    <sheet name="Segment Revenue" sheetId="6" r:id="rId2"/>
    <sheet name="Revenue from the Cities" sheetId="5" r:id="rId3"/>
    <sheet name="Total Revenue by city" sheetId="3" r:id="rId4"/>
    <sheet name="Average of Monthly fee" sheetId="2" r:id="rId5"/>
  </sheets>
  <definedNames>
    <definedName name="_xlnm._FilterDatabase" localSheetId="0" hidden="1">Sheet1!$A$1:$S$36</definedName>
    <definedName name="_xlcn.WorksheetConnection_Sheet1A1N361" hidden="1">Sheet1!$A$1:$O$36</definedName>
    <definedName name="_xlcn.WorksheetConnection_Sheet1A1O361" hidden="1">Sheet1!$A$1:$P$36</definedName>
    <definedName name="Slicer_City">#N/A</definedName>
    <definedName name="Slicer_Referral_Impact">#N/A</definedName>
  </definedNames>
  <calcPr calcId="191029"/>
  <pivotCaches>
    <pivotCache cacheId="0" r:id="rId6"/>
    <pivotCache cacheId="1" r:id="rId7"/>
    <pivotCache cacheId="2" r:id="rId8"/>
    <pivotCache cacheId="74" r:id="rId9"/>
  </pivotCaches>
  <extLst>
    <ext xmlns:x14="http://schemas.microsoft.com/office/spreadsheetml/2009/9/main" uri="{876F7934-8845-4945-9796-88D515C7AA90}">
      <x14:pivotCaches>
        <pivotCache cacheId="4" r:id="rId10"/>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Sheet1!$A$1:$O$36"/>
          <x15:modelTable id="Range" name="Range" connection="WorksheetConnection_Sheet1!$A$1:$N$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GJwS0+B45xNQM+LKEkjyJlcr0UGtKlsJIMlgA/KehTo="/>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 i="1"/>
  <c r="O4" i="1"/>
  <c r="O5" i="1"/>
  <c r="O6" i="1"/>
  <c r="O7" i="1"/>
  <c r="O8" i="1"/>
  <c r="O2" i="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P16" i="1" s="1"/>
  <c r="M17" i="1"/>
  <c r="N17" i="1" s="1"/>
  <c r="M18" i="1"/>
  <c r="N18" i="1" s="1"/>
  <c r="M19" i="1"/>
  <c r="N19" i="1" s="1"/>
  <c r="M20" i="1"/>
  <c r="N20" i="1" s="1"/>
  <c r="M21" i="1"/>
  <c r="N21" i="1" s="1"/>
  <c r="M22" i="1"/>
  <c r="N22" i="1" s="1"/>
  <c r="M23" i="1"/>
  <c r="N23" i="1" s="1"/>
  <c r="M24" i="1"/>
  <c r="P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2" i="1"/>
  <c r="N2" i="1" s="1"/>
  <c r="P26" i="1" l="1"/>
  <c r="N24" i="1"/>
  <c r="N16" i="1"/>
  <c r="P34" i="1"/>
  <c r="P18" i="1"/>
  <c r="P10" i="1"/>
  <c r="P33" i="1"/>
  <c r="P25" i="1"/>
  <c r="P17" i="1"/>
  <c r="P9" i="1"/>
  <c r="P32" i="1"/>
  <c r="P8" i="1"/>
  <c r="P31" i="1"/>
  <c r="P23" i="1"/>
  <c r="P15" i="1"/>
  <c r="P7" i="1"/>
  <c r="P30" i="1"/>
  <c r="P22" i="1"/>
  <c r="P14" i="1"/>
  <c r="P6" i="1"/>
  <c r="P2" i="1"/>
  <c r="P29" i="1"/>
  <c r="P21" i="1"/>
  <c r="P13" i="1"/>
  <c r="P5" i="1"/>
  <c r="P36" i="1"/>
  <c r="P28" i="1"/>
  <c r="P20" i="1"/>
  <c r="P12" i="1"/>
  <c r="P4" i="1"/>
  <c r="P35" i="1"/>
  <c r="P27" i="1"/>
  <c r="P19" i="1"/>
  <c r="P11" i="1"/>
  <c r="P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BA8947C-5D0A-40EA-8C80-EADE96ABD5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A85AD24-A5AC-4BFD-AB8E-3384171130F9}" name="WorksheetConnection_Sheet1!$A$1:$N$36" type="102" refreshedVersion="8" minRefreshableVersion="5">
    <extLst>
      <ext xmlns:x15="http://schemas.microsoft.com/office/spreadsheetml/2010/11/main" uri="{DE250136-89BD-433C-8126-D09CA5730AF9}">
        <x15:connection id="Range" autoDelete="1">
          <x15:rangePr sourceName="_xlcn.WorksheetConnection_Sheet1A1N361"/>
        </x15:connection>
      </ext>
    </extLst>
  </connection>
  <connection id="3" xr16:uid="{E2FD17E2-2EC4-4E9F-92C1-BD3825B88DA6}" name="WorksheetConnection_Sheet1!$A$1:$O$36" type="102" refreshedVersion="8" minRefreshableVersion="5">
    <extLst>
      <ext xmlns:x15="http://schemas.microsoft.com/office/spreadsheetml/2010/11/main" uri="{DE250136-89BD-433C-8126-D09CA5730AF9}">
        <x15:connection id="Range 1" autoDelete="1">
          <x15:rangePr sourceName="_xlcn.WorksheetConnection_Sheet1A1O361"/>
        </x15:connection>
      </ext>
    </extLst>
  </connection>
</connections>
</file>

<file path=xl/sharedStrings.xml><?xml version="1.0" encoding="utf-8"?>
<sst xmlns="http://schemas.openxmlformats.org/spreadsheetml/2006/main" count="252" uniqueCount="127">
  <si>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</si>
  <si>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</si>
  <si>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</si>
  <si>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</si>
  <si>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</si>
  <si>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</si>
  <si>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</si>
  <si>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</si>
  <si>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</si>
  <si>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</si>
  <si>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</si>
  <si>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</si>
  <si>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</si>
  <si>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</si>
  <si>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</si>
  <si>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</si>
  <si>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</si>
  <si>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</si>
  <si>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</si>
  <si>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</si>
  <si>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</si>
  <si>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</si>
  <si>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</si>
  <si>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</si>
  <si>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</si>
  <si>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</si>
  <si>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</si>
  <si>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</si>
  <si>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</si>
  <si>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</si>
  <si>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</si>
  <si>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</si>
  <si>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</si>
  <si>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</si>
  <si>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</si>
  <si>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</si>
  <si>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</si>
  <si>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</si>
  <si>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</si>
  <si>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</si>
  <si>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</si>
  <si>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</si>
  <si>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</si>
  <si>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</si>
  <si>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</si>
  <si>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</si>
  <si>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</si>
  <si>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</si>
  <si>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</si>
  <si>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</si>
  <si>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</si>
  <si>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</si>
  <si>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</si>
  <si>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</si>
  <si>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</si>
  <si>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</si>
  <si>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</si>
  <si>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</si>
  <si>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</si>
  <si>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</si>
  <si>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</si>
  <si>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</si>
  <si>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</si>
  <si>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</si>
  <si>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</si>
  <si>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</si>
  <si>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</si>
  <si>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</si>
  <si>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</si>
  <si>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</si>
  <si>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</si>
  <si>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</si>
  <si>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</si>
  <si>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</si>
  <si>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</si>
  <si>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</si>
  <si>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</si>
  <si>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</si>
  <si>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</si>
  <si>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</si>
  <si>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</si>
  <si>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</si>
  <si>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</si>
  <si>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</si>
  <si>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</si>
  <si>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</si>
  <si>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</si>
  <si>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</si>
  <si>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</si>
  <si>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</si>
  <si>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</si>
  <si>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</si>
  <si>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</si>
  <si>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</si>
  <si>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</si>
  <si>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</si>
  <si>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</si>
  <si>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</si>
  <si>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</si>
  <si>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</si>
  <si>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</si>
  <si>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</si>
  <si>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</si>
  <si>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</si>
  <si>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</si>
  <si>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</si>
  <si>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</si>
  <si>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Member_ID</t>
  </si>
  <si>
    <t>Membership_Duration_Months</t>
  </si>
  <si>
    <t>Referral Impact</t>
  </si>
  <si>
    <t>Row Labels</t>
  </si>
  <si>
    <t>Grand Total</t>
  </si>
  <si>
    <t>No</t>
  </si>
  <si>
    <t>Yes</t>
  </si>
  <si>
    <t>Average of Monthly_Fee</t>
  </si>
  <si>
    <t>Column Labels</t>
  </si>
  <si>
    <t>Total_Revenue</t>
  </si>
  <si>
    <t>Sum of Total_Revenue</t>
  </si>
  <si>
    <t>Months</t>
  </si>
  <si>
    <t>Age Category</t>
  </si>
  <si>
    <t>Average of Total_Revenue</t>
  </si>
  <si>
    <t>Adult</t>
  </si>
  <si>
    <t>Senior</t>
  </si>
  <si>
    <t>Youth</t>
  </si>
  <si>
    <t>Where should PowerFit focus its marketing or referral programs ?</t>
  </si>
  <si>
    <t>C)</t>
  </si>
  <si>
    <t xml:space="preserve">The following focus area required for marketing programs - In Bengaluru - Senior with standard subscription .In Delhi and Hyderabad  Adults with Basic subscription.In Kolkata Adults and Youth with Basic subscription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</si>
</sst>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yyyy\-mm\-dd"/>
    <numFmt numFmtId="165" formatCode="_ * #,##0_ ;_ * \-#,##0_ ;_ * &quot;-&quot;??_ ;_ @_ "/>
  </numFmts>
  <fonts count="6" x14ac:knownFonts="1">
    <font>
      <sz val="11"/>
      <color theme="1"/>
      <name val="Calibri"/>
      <scheme val="minor"/>
    </font>
    <font>
      <b/>
      <sz val="11"/>
      <color theme="1"/>
      <name val="Calibri"/>
    </font>
    <font>
      <sz val="11"/>
      <color theme="1"/>
      <name val="Calibri"/>
      <scheme val="minor"/>
    </font>
    <font>
      <sz val="11"/>
      <color theme="1"/>
      <name val="Calibri"/>
    </font>
    <font>
      <b/>
      <sz val="11"/>
      <color theme="1"/>
      <name val="Calibri"/>
      <family val="2"/>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43" fontId="2" fillId="0" borderId="0" applyFont="0" applyFill="0" applyBorder="0" applyAlignment="0" applyProtection="0"/>
  </cellStyleXfs>
  <cellXfs count="17">
    <xf numFmtId="0" fontId="0" fillId="0" borderId="0" xfId="0"/>
    <xf numFmtId="0" fontId="2" fillId="0" borderId="1" xfId="0" applyFont="1" applyBorder="1" applyAlignment="1">
      <alignment horizontal="center"/>
    </xf>
    <xf numFmtId="164" fontId="3" fillId="0" borderId="1" xfId="0" applyNumberFormat="1"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0" fontId="0" fillId="0" borderId="2" xfId="0" applyBorder="1" applyAlignment="1">
      <alignment horizontal="center"/>
    </xf>
    <xf numFmtId="0" fontId="1" fillId="2" borderId="1" xfId="0" applyFont="1" applyFill="1" applyBorder="1" applyAlignment="1">
      <alignment horizontal="center" vertical="center"/>
    </xf>
    <xf numFmtId="0" fontId="0" fillId="0" borderId="0" xfId="0" applyAlignment="1">
      <alignment horizontal="center" vertical="center"/>
    </xf>
    <xf numFmtId="1" fontId="0" fillId="0" borderId="1" xfId="0" applyNumberFormat="1" applyBorder="1" applyAlignment="1">
      <alignment horizontal="center"/>
    </xf>
    <xf numFmtId="165" fontId="0" fillId="0" borderId="1" xfId="1" applyNumberFormat="1" applyFont="1" applyBorder="1" applyAlignment="1">
      <alignment vertical="center"/>
    </xf>
    <xf numFmtId="0" fontId="4" fillId="2" borderId="1" xfId="0" applyFont="1" applyFill="1" applyBorder="1" applyAlignment="1">
      <alignment horizontal="center" vertical="top"/>
    </xf>
    <xf numFmtId="0" fontId="0" fillId="0" borderId="0" xfId="0" applyNumberFormat="1"/>
    <xf numFmtId="0" fontId="5" fillId="0" borderId="0" xfId="0" applyFont="1"/>
    <xf numFmtId="0" fontId="5" fillId="0" borderId="0" xfId="0" applyFont="1" applyAlignment="1">
      <alignment horizontal="center"/>
    </xf>
  </cellXfs>
  <cellStyles count="2">
    <cellStyle name="Comma" xfId="1" builtinId="3"/>
    <cellStyle name="Normal" xfId="0" builtinId="0"/>
  </cellStyles>
  <dxfs count="10">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(1).xlsx]Segment Revenue!PivotTable4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Revenue by the Segments across the cities</a:t>
            </a:r>
          </a:p>
          <a:p>
            <a:pPr>
              <a:defRPr/>
            </a:pPr>
            <a:endParaRPr lang="en-IN"/>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Revenue'!$B$3:$B$4</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Revenue'!$A$5:$A$7</c:f>
              <c:strCache>
                <c:ptCount val="3"/>
                <c:pt idx="0">
                  <c:v>Adult</c:v>
                </c:pt>
                <c:pt idx="1">
                  <c:v>Senior</c:v>
                </c:pt>
                <c:pt idx="2">
                  <c:v>Youth</c:v>
                </c:pt>
              </c:strCache>
            </c:strRef>
          </c:cat>
          <c:val>
            <c:numRef>
              <c:f>'Segment Revenue'!$B$5:$B$7</c:f>
              <c:numCache>
                <c:formatCode>General</c:formatCode>
                <c:ptCount val="3"/>
                <c:pt idx="0">
                  <c:v>98933.333333333328</c:v>
                </c:pt>
                <c:pt idx="1">
                  <c:v>303200</c:v>
                </c:pt>
                <c:pt idx="2">
                  <c:v>100533.33333333333</c:v>
                </c:pt>
              </c:numCache>
            </c:numRef>
          </c:val>
          <c:extLst>
            <c:ext xmlns:c16="http://schemas.microsoft.com/office/drawing/2014/chart" uri="{C3380CC4-5D6E-409C-BE32-E72D297353CC}">
              <c16:uniqueId val="{00000000-9CAA-4D13-AEC2-365BB2C8454C}"/>
            </c:ext>
          </c:extLst>
        </c:ser>
        <c:ser>
          <c:idx val="1"/>
          <c:order val="1"/>
          <c:tx>
            <c:strRef>
              <c:f>'Segment Revenue'!$C$3:$C$4</c:f>
              <c:strCache>
                <c:ptCount val="1"/>
                <c:pt idx="0">
                  <c:v>Family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Revenue'!$A$5:$A$7</c:f>
              <c:strCache>
                <c:ptCount val="3"/>
                <c:pt idx="0">
                  <c:v>Adult</c:v>
                </c:pt>
                <c:pt idx="1">
                  <c:v>Senior</c:v>
                </c:pt>
                <c:pt idx="2">
                  <c:v>Youth</c:v>
                </c:pt>
              </c:strCache>
            </c:strRef>
          </c:cat>
          <c:val>
            <c:numRef>
              <c:f>'Segment Revenue'!$C$5:$C$7</c:f>
              <c:numCache>
                <c:formatCode>General</c:formatCode>
                <c:ptCount val="3"/>
                <c:pt idx="1">
                  <c:v>1090000</c:v>
                </c:pt>
                <c:pt idx="2">
                  <c:v>275625</c:v>
                </c:pt>
              </c:numCache>
            </c:numRef>
          </c:val>
          <c:extLst>
            <c:ext xmlns:c16="http://schemas.microsoft.com/office/drawing/2014/chart" uri="{C3380CC4-5D6E-409C-BE32-E72D297353CC}">
              <c16:uniqueId val="{00000001-9CAA-4D13-AEC2-365BB2C8454C}"/>
            </c:ext>
          </c:extLst>
        </c:ser>
        <c:ser>
          <c:idx val="2"/>
          <c:order val="2"/>
          <c:tx>
            <c:strRef>
              <c:f>'Segment Revenue'!$D$3:$D$4</c:f>
              <c:strCache>
                <c:ptCount val="1"/>
                <c:pt idx="0">
                  <c:v>Premium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Revenue'!$A$5:$A$7</c:f>
              <c:strCache>
                <c:ptCount val="3"/>
                <c:pt idx="0">
                  <c:v>Adult</c:v>
                </c:pt>
                <c:pt idx="1">
                  <c:v>Senior</c:v>
                </c:pt>
                <c:pt idx="2">
                  <c:v>Youth</c:v>
                </c:pt>
              </c:strCache>
            </c:strRef>
          </c:cat>
          <c:val>
            <c:numRef>
              <c:f>'Segment Revenue'!$D$5:$D$7</c:f>
              <c:numCache>
                <c:formatCode>General</c:formatCode>
                <c:ptCount val="3"/>
                <c:pt idx="1">
                  <c:v>370800</c:v>
                </c:pt>
                <c:pt idx="2">
                  <c:v>386100</c:v>
                </c:pt>
              </c:numCache>
            </c:numRef>
          </c:val>
          <c:extLst>
            <c:ext xmlns:c16="http://schemas.microsoft.com/office/drawing/2014/chart" uri="{C3380CC4-5D6E-409C-BE32-E72D297353CC}">
              <c16:uniqueId val="{00000002-9CAA-4D13-AEC2-365BB2C8454C}"/>
            </c:ext>
          </c:extLst>
        </c:ser>
        <c:ser>
          <c:idx val="3"/>
          <c:order val="3"/>
          <c:tx>
            <c:strRef>
              <c:f>'Segment Revenue'!$E$3:$E$4</c:f>
              <c:strCache>
                <c:ptCount val="1"/>
                <c:pt idx="0">
                  <c:v>Standard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 Revenue'!$A$5:$A$7</c:f>
              <c:strCache>
                <c:ptCount val="3"/>
                <c:pt idx="0">
                  <c:v>Adult</c:v>
                </c:pt>
                <c:pt idx="1">
                  <c:v>Senior</c:v>
                </c:pt>
                <c:pt idx="2">
                  <c:v>Youth</c:v>
                </c:pt>
              </c:strCache>
            </c:strRef>
          </c:cat>
          <c:val>
            <c:numRef>
              <c:f>'Segment Revenue'!$E$5:$E$7</c:f>
              <c:numCache>
                <c:formatCode>General</c:formatCode>
                <c:ptCount val="3"/>
                <c:pt idx="0">
                  <c:v>178560</c:v>
                </c:pt>
                <c:pt idx="1">
                  <c:v>115800</c:v>
                </c:pt>
                <c:pt idx="2">
                  <c:v>307200</c:v>
                </c:pt>
              </c:numCache>
            </c:numRef>
          </c:val>
          <c:extLst>
            <c:ext xmlns:c16="http://schemas.microsoft.com/office/drawing/2014/chart" uri="{C3380CC4-5D6E-409C-BE32-E72D297353CC}">
              <c16:uniqueId val="{00000003-9CAA-4D13-AEC2-365BB2C8454C}"/>
            </c:ext>
          </c:extLst>
        </c:ser>
        <c:dLbls>
          <c:dLblPos val="outEnd"/>
          <c:showLegendKey val="0"/>
          <c:showVal val="1"/>
          <c:showCatName val="0"/>
          <c:showSerName val="0"/>
          <c:showPercent val="0"/>
          <c:showBubbleSize val="0"/>
        </c:dLbls>
        <c:gapWidth val="100"/>
        <c:overlap val="-24"/>
        <c:axId val="1104242096"/>
        <c:axId val="1104245696"/>
      </c:barChart>
      <c:catAx>
        <c:axId val="1104242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45696"/>
        <c:crosses val="autoZero"/>
        <c:auto val="1"/>
        <c:lblAlgn val="ctr"/>
        <c:lblOffset val="100"/>
        <c:noMultiLvlLbl val="0"/>
      </c:catAx>
      <c:valAx>
        <c:axId val="110424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24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[Advanced_Fitness_Members_India (1).xlsx]Revenue from the Cities!PivotTable3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Revenue By the Cities from The membership</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from the Cities'!$B$3:$B$4</c:f>
              <c:strCache>
                <c:ptCount val="1"/>
                <c:pt idx="0">
                  <c:v>Basic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from the Cities'!$A$5:$A$11</c:f>
              <c:strCache>
                <c:ptCount val="6"/>
                <c:pt idx="0">
                  <c:v>Bengaluru</c:v>
                </c:pt>
                <c:pt idx="1">
                  <c:v>Delhi</c:v>
                </c:pt>
                <c:pt idx="2">
                  <c:v>Hyderabad</c:v>
                </c:pt>
                <c:pt idx="3">
                  <c:v>Kolkata</c:v>
                </c:pt>
                <c:pt idx="4">
                  <c:v>Mumbai</c:v>
                </c:pt>
                <c:pt idx="5">
                  <c:v>Pune</c:v>
                </c:pt>
              </c:strCache>
            </c:strRef>
          </c:cat>
          <c:val>
            <c:numRef>
              <c:f>'Revenue from the Cities'!$B$5:$B$11</c:f>
              <c:numCache>
                <c:formatCode>General</c:formatCode>
                <c:ptCount val="6"/>
                <c:pt idx="2">
                  <c:v>165600</c:v>
                </c:pt>
                <c:pt idx="4">
                  <c:v>280800</c:v>
                </c:pt>
                <c:pt idx="5">
                  <c:v>71200</c:v>
                </c:pt>
              </c:numCache>
            </c:numRef>
          </c:val>
          <c:extLst>
            <c:ext xmlns:c16="http://schemas.microsoft.com/office/drawing/2014/chart" uri="{C3380CC4-5D6E-409C-BE32-E72D297353CC}">
              <c16:uniqueId val="{00000000-ACBE-4649-B760-3C50BD50E3D7}"/>
            </c:ext>
          </c:extLst>
        </c:ser>
        <c:ser>
          <c:idx val="1"/>
          <c:order val="1"/>
          <c:tx>
            <c:strRef>
              <c:f>'Revenue from the Cities'!$C$3:$C$4</c:f>
              <c:strCache>
                <c:ptCount val="1"/>
                <c:pt idx="0">
                  <c:v>Family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from the Cities'!$A$5:$A$11</c:f>
              <c:strCache>
                <c:ptCount val="6"/>
                <c:pt idx="0">
                  <c:v>Bengaluru</c:v>
                </c:pt>
                <c:pt idx="1">
                  <c:v>Delhi</c:v>
                </c:pt>
                <c:pt idx="2">
                  <c:v>Hyderabad</c:v>
                </c:pt>
                <c:pt idx="3">
                  <c:v>Kolkata</c:v>
                </c:pt>
                <c:pt idx="4">
                  <c:v>Mumbai</c:v>
                </c:pt>
                <c:pt idx="5">
                  <c:v>Pune</c:v>
                </c:pt>
              </c:strCache>
            </c:strRef>
          </c:cat>
          <c:val>
            <c:numRef>
              <c:f>'Revenue from the Cities'!$C$5:$C$11</c:f>
              <c:numCache>
                <c:formatCode>General</c:formatCode>
                <c:ptCount val="6"/>
                <c:pt idx="1">
                  <c:v>1090000</c:v>
                </c:pt>
                <c:pt idx="2">
                  <c:v>17500</c:v>
                </c:pt>
                <c:pt idx="3">
                  <c:v>75000</c:v>
                </c:pt>
                <c:pt idx="4">
                  <c:v>70000</c:v>
                </c:pt>
              </c:numCache>
            </c:numRef>
          </c:val>
          <c:extLst>
            <c:ext xmlns:c16="http://schemas.microsoft.com/office/drawing/2014/chart" uri="{C3380CC4-5D6E-409C-BE32-E72D297353CC}">
              <c16:uniqueId val="{00000001-ACBE-4649-B760-3C50BD50E3D7}"/>
            </c:ext>
          </c:extLst>
        </c:ser>
        <c:ser>
          <c:idx val="2"/>
          <c:order val="2"/>
          <c:tx>
            <c:strRef>
              <c:f>'Revenue from the Cities'!$D$3:$D$4</c:f>
              <c:strCache>
                <c:ptCount val="1"/>
                <c:pt idx="0">
                  <c:v>Premium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from the Cities'!$A$5:$A$11</c:f>
              <c:strCache>
                <c:ptCount val="6"/>
                <c:pt idx="0">
                  <c:v>Bengaluru</c:v>
                </c:pt>
                <c:pt idx="1">
                  <c:v>Delhi</c:v>
                </c:pt>
                <c:pt idx="2">
                  <c:v>Hyderabad</c:v>
                </c:pt>
                <c:pt idx="3">
                  <c:v>Kolkata</c:v>
                </c:pt>
                <c:pt idx="4">
                  <c:v>Mumbai</c:v>
                </c:pt>
                <c:pt idx="5">
                  <c:v>Pune</c:v>
                </c:pt>
              </c:strCache>
            </c:strRef>
          </c:cat>
          <c:val>
            <c:numRef>
              <c:f>'Revenue from the Cities'!$D$5:$D$11</c:f>
              <c:numCache>
                <c:formatCode>General</c:formatCode>
                <c:ptCount val="6"/>
                <c:pt idx="0">
                  <c:v>532800</c:v>
                </c:pt>
                <c:pt idx="1">
                  <c:v>7200</c:v>
                </c:pt>
                <c:pt idx="3">
                  <c:v>356400</c:v>
                </c:pt>
                <c:pt idx="4">
                  <c:v>950400</c:v>
                </c:pt>
              </c:numCache>
            </c:numRef>
          </c:val>
          <c:extLst>
            <c:ext xmlns:c16="http://schemas.microsoft.com/office/drawing/2014/chart" uri="{C3380CC4-5D6E-409C-BE32-E72D297353CC}">
              <c16:uniqueId val="{00000002-ACBE-4649-B760-3C50BD50E3D7}"/>
            </c:ext>
          </c:extLst>
        </c:ser>
        <c:ser>
          <c:idx val="3"/>
          <c:order val="3"/>
          <c:tx>
            <c:strRef>
              <c:f>'Revenue from the Cities'!$E$3:$E$4</c:f>
              <c:strCache>
                <c:ptCount val="1"/>
                <c:pt idx="0">
                  <c:v>Standard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 from the Cities'!$A$5:$A$11</c:f>
              <c:strCache>
                <c:ptCount val="6"/>
                <c:pt idx="0">
                  <c:v>Bengaluru</c:v>
                </c:pt>
                <c:pt idx="1">
                  <c:v>Delhi</c:v>
                </c:pt>
                <c:pt idx="2">
                  <c:v>Hyderabad</c:v>
                </c:pt>
                <c:pt idx="3">
                  <c:v>Kolkata</c:v>
                </c:pt>
                <c:pt idx="4">
                  <c:v>Mumbai</c:v>
                </c:pt>
                <c:pt idx="5">
                  <c:v>Pune</c:v>
                </c:pt>
              </c:strCache>
            </c:strRef>
          </c:cat>
          <c:val>
            <c:numRef>
              <c:f>'Revenue from the Cities'!$E$5:$E$11</c:f>
              <c:numCache>
                <c:formatCode>General</c:formatCode>
                <c:ptCount val="6"/>
                <c:pt idx="0">
                  <c:v>349200</c:v>
                </c:pt>
                <c:pt idx="1">
                  <c:v>30000</c:v>
                </c:pt>
                <c:pt idx="2">
                  <c:v>427200</c:v>
                </c:pt>
                <c:pt idx="4">
                  <c:v>468000</c:v>
                </c:pt>
                <c:pt idx="5">
                  <c:v>445200</c:v>
                </c:pt>
              </c:numCache>
            </c:numRef>
          </c:val>
          <c:extLst>
            <c:ext xmlns:c16="http://schemas.microsoft.com/office/drawing/2014/chart" uri="{C3380CC4-5D6E-409C-BE32-E72D297353CC}">
              <c16:uniqueId val="{00000003-ACBE-4649-B760-3C50BD50E3D7}"/>
            </c:ext>
          </c:extLst>
        </c:ser>
        <c:dLbls>
          <c:dLblPos val="outEnd"/>
          <c:showLegendKey val="0"/>
          <c:showVal val="1"/>
          <c:showCatName val="0"/>
          <c:showSerName val="0"/>
          <c:showPercent val="0"/>
          <c:showBubbleSize val="0"/>
        </c:dLbls>
        <c:gapWidth val="100"/>
        <c:overlap val="-24"/>
        <c:axId val="1104235976"/>
        <c:axId val="1104230936"/>
      </c:barChart>
      <c:catAx>
        <c:axId val="11042359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230936"/>
        <c:crosses val="autoZero"/>
        <c:auto val="1"/>
        <c:lblAlgn val="ctr"/>
        <c:lblOffset val="100"/>
        <c:noMultiLvlLbl val="0"/>
      </c:catAx>
      <c:valAx>
        <c:axId val="1104230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4235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487680</xdr:colOff>
      <xdr:row>2</xdr:row>
      <xdr:rowOff>167640</xdr:rowOff>
    </xdr:from>
    <xdr:to>
      <xdr:col>12</xdr:col>
      <xdr:colOff>487680</xdr:colOff>
      <xdr:row>16</xdr:row>
      <xdr:rowOff>74295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3783FB5-1276-59F6-ABD2-B5E537EEB80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51420" y="533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9</xdr:col>
      <xdr:colOff>449580</xdr:colOff>
      <xdr:row>19</xdr:row>
      <xdr:rowOff>137160</xdr:rowOff>
    </xdr:to>
    <xdr:graphicFrame macro="">
      <xdr:nvGraphicFramePr>
        <xdr:cNvPr id="3" name="Chart 2">
          <a:extLst>
            <a:ext uri="{FF2B5EF4-FFF2-40B4-BE49-F238E27FC236}">
              <a16:creationId xmlns:a16="http://schemas.microsoft.com/office/drawing/2014/main" id="{49526DA3-56E5-767C-06C2-5EA3448F5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243840</xdr:colOff>
      <xdr:row>0</xdr:row>
      <xdr:rowOff>7620</xdr:rowOff>
    </xdr:from>
    <xdr:to>
      <xdr:col>14</xdr:col>
      <xdr:colOff>624840</xdr:colOff>
      <xdr:row>13</xdr:row>
      <xdr:rowOff>97155</xdr:rowOff>
    </xdr:to>
    <mc:AlternateContent xmlns:mc="http://schemas.openxmlformats.org/markup-compatibility/2006" xmlns:a14="http://schemas.microsoft.com/office/drawing/2010/main">
      <mc:Choice Requires="a14">
        <xdr:graphicFrame macro="">
          <xdr:nvGraphicFramePr>
            <xdr:cNvPr id="3" name="Referral Impact">
              <a:extLst>
                <a:ext uri="{FF2B5EF4-FFF2-40B4-BE49-F238E27FC236}">
                  <a16:creationId xmlns:a16="http://schemas.microsoft.com/office/drawing/2014/main" id="{B6489D12-337E-C8A2-93C1-A7B243DF44FB}"/>
                </a:ext>
              </a:extLst>
            </xdr:cNvPr>
            <xdr:cNvGraphicFramePr/>
          </xdr:nvGraphicFramePr>
          <xdr:xfrm>
            <a:off x="0" y="0"/>
            <a:ext cx="0" cy="0"/>
          </xdr:xfrm>
          <a:graphic>
            <a:graphicData uri="http://schemas.microsoft.com/office/drawing/2010/slicer">
              <sle:slicer xmlns:sle="http://schemas.microsoft.com/office/drawing/2010/slicer" name="Referral Impact"/>
            </a:graphicData>
          </a:graphic>
        </xdr:graphicFrame>
      </mc:Choice>
      <mc:Fallback xmlns="">
        <xdr:sp macro="" textlink="">
          <xdr:nvSpPr>
            <xdr:cNvPr id="0" name=""/>
            <xdr:cNvSpPr>
              <a:spLocks noTextEdit="1"/>
            </xdr:cNvSpPr>
          </xdr:nvSpPr>
          <xdr:spPr>
            <a:xfrm>
              <a:off x="9311640" y="7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10</xdr:col>
      <xdr:colOff>274320</xdr:colOff>
      <xdr:row>19</xdr:row>
      <xdr:rowOff>137160</xdr:rowOff>
    </xdr:to>
    <xdr:graphicFrame macro="">
      <xdr:nvGraphicFramePr>
        <xdr:cNvPr id="4" name="Chart 3">
          <a:extLst>
            <a:ext uri="{FF2B5EF4-FFF2-40B4-BE49-F238E27FC236}">
              <a16:creationId xmlns:a16="http://schemas.microsoft.com/office/drawing/2014/main" id="{CA74D00F-DF2E-E1EF-E94C-9B1E62F6E7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602503125003" backgroundQuery="1" createdVersion="8" refreshedVersion="8" minRefreshableVersion="3" recordCount="0" supportSubquery="1" supportAdvancedDrill="1" xr:uid="{6110A4D3-B5AF-45EB-BC37-851D2B7A3E0C}">
  <cacheSource type="external" connectionId="1"/>
  <cacheFields count="2">
    <cacheField name="[Range].[Referral Impact].[Referral Impact]" caption="Referral Impact" numFmtId="0" hierarchy="13" level="1">
      <sharedItems count="2">
        <s v="No"/>
        <s v="Yes"/>
      </sharedItems>
    </cacheField>
    <cacheField name="[Measures].[Average of Monthly_Fee]" caption="Average of Monthly_Fee" numFmtId="0" hierarchy="34" level="32767"/>
  </cacheFields>
  <cacheHierarchies count="37">
    <cacheHierarchy uniqueName="[Range].[Member_ID]" caption="Member_ID" attribute="1" defaultMemberUniqueName="[Range].[Member_ID].[All]" allUniqueName="[Range].[Memb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Membership_Type]" caption="Membership_Type" attribute="1" defaultMemberUniqueName="[Range].[Membership_Type].[All]" allUniqueName="[Range].[Membership_Type].[All]" dimensionUniqueName="[Range]" displayFolder="" count="0" memberValueDatatype="130" unbalanced="0"/>
    <cacheHierarchy uniqueName="[Range].[Start_Date]" caption="Start_Date" attribute="1" time="1" defaultMemberUniqueName="[Range].[Start_Date].[All]" allUniqueName="[Range].[Start_Date].[All]" dimensionUniqueName="[Range]" displayFolder="" count="0" memberValueDatatype="7" unbalanced="0"/>
    <cacheHierarchy uniqueName="[Range].[End_Date]" caption="End_Date" attribute="1" time="1" defaultMemberUniqueName="[Range].[End_Date].[All]" allUniqueName="[Range].[End_Date].[All]" dimensionUniqueName="[Range]" displayFolder="" count="0" memberValueDatatype="7" unbalanced="0"/>
    <cacheHierarchy uniqueName="[Range].[Monthly_Fee]" caption="Monthly_Fee" attribute="1" defaultMemberUniqueName="[Range].[Monthly_Fee].[All]" allUniqueName="[Range].[Monthly_Fee].[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Referred_By]" caption="Referred_By" attribute="1" defaultMemberUniqueName="[Range].[Referred_By].[All]" allUniqueName="[Range].[Referred_By].[All]" dimensionUniqueName="[Range]" displayFolder="" count="0"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0" memberValueDatatype="20" unbalanced="0"/>
    <cacheHierarchy uniqueName="[Range].[Months and Days]" caption="Months and Days" attribute="1" defaultMemberUniqueName="[Range].[Months and Days].[All]" allUniqueName="[Range].[Months and Days].[All]" dimensionUniqueName="[Range]" displayFolder="" count="0" memberValueDatatype="130" unbalanced="0"/>
    <cacheHierarchy uniqueName="[Range].[Referral Impact]" caption="Referral Impact" attribute="1" defaultMemberUniqueName="[Range].[Referral Impact].[All]" allUniqueName="[Range].[Referral Impact].[All]" dimensionUniqueName="[Range]" displayFolder="" count="2" memberValueDatatype="130" unbalanced="0">
      <fieldsUsage count="2">
        <fieldUsage x="-1"/>
        <fieldUsage x="0"/>
      </fieldsUsage>
    </cacheHierarchy>
    <cacheHierarchy uniqueName="[Range 1].[Member_ID]" caption="Member_ID" attribute="1" defaultMemberUniqueName="[Range 1].[Member_ID].[All]" allUniqueName="[Range 1].[Member_ID].[All]" dimensionUniqueName="[Range 1]" displayFolder="" count="0" memberValueDatatype="130" unbalanced="0"/>
    <cacheHierarchy uniqueName="[Range 1].[Full_Name]" caption="Full_Name" attribute="1" defaultMemberUniqueName="[Range 1].[Full_Name].[All]" allUniqueName="[Range 1].[Full_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Age Category]" caption="Age Category" attribute="1" defaultMemberUniqueName="[Range 1].[Age Category].[All]" allUniqueName="[Range 1].[Age Category].[All]" dimensionUniqueName="[Range 1]" displayFolder="" count="0" memberValueDatatype="130" unbalanced="0"/>
    <cacheHierarchy uniqueName="[Range 1].[Membership_Type]" caption="Membership_Type" attribute="1" defaultMemberUniqueName="[Range 1].[Membership_Type].[All]" allUniqueName="[Range 1].[Membership_Type].[All]" dimensionUniqueName="[Range 1]" displayFolder="" count="0" memberValueDatatype="130" unbalanced="0"/>
    <cacheHierarchy uniqueName="[Range 1].[Start_Date]" caption="Start_Date" attribute="1" time="1" defaultMemberUniqueName="[Range 1].[Start_Date].[All]" allUniqueName="[Range 1].[Start_Date].[All]" dimensionUniqueName="[Range 1]" displayFolder="" count="0" memberValueDatatype="7" unbalanced="0"/>
    <cacheHierarchy uniqueName="[Range 1].[End_Date]" caption="End_Date" attribute="1" time="1" defaultMemberUniqueName="[Range 1].[End_Date].[All]" allUniqueName="[Range 1].[End_Date].[All]" dimensionUniqueName="[Range 1]" displayFolder="" count="0" memberValueDatatype="7" unbalanced="0"/>
    <cacheHierarchy uniqueName="[Range 1].[Monthly_Fee]" caption="Monthly_Fee" attribute="1" defaultMemberUniqueName="[Range 1].[Monthly_Fee].[All]" allUniqueName="[Range 1].[Monthly_Fee].[All]" dimensionUniqueName="[Range 1]" displayFolder="" count="0" memberValueDatatype="20" unbalanced="0"/>
    <cacheHierarchy uniqueName="[Range 1].[Attendance]" caption="Attendance" attribute="1" defaultMemberUniqueName="[Range 1].[Attendance].[All]" allUniqueName="[Range 1].[Attendanc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 1].[Referred_By]" caption="Referred_By" attribute="1" defaultMemberUniqueName="[Range 1].[Referred_By].[All]" allUniqueName="[Range 1].[Referred_By].[All]" dimensionUniqueName="[Range 1]" displayFolder="" count="0"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0" memberValueDatatype="20" unbalanced="0"/>
    <cacheHierarchy uniqueName="[Range 1].[Months]" caption="Months" attribute="1" defaultMemberUniqueName="[Range 1].[Months].[All]" allUniqueName="[Range 1].[Months].[All]" dimensionUniqueName="[Range 1]" displayFolder="" count="0" memberValueDatatype="5" unbalanced="0"/>
    <cacheHierarchy uniqueName="[Range 1].[Referral Impact]" caption="Referral Impact" attribute="1" defaultMemberUniqueName="[Range 1].[Referral Impact].[All]" allUniqueName="[Range 1].[Referral Impact].[All]" dimensionUniqueName="[Range 1]" displayFolder="" count="0" memberValueDatatype="130" unbalanced="0"/>
    <cacheHierarchy uniqueName="[Range 1].[Total_Revenue]" caption="Total_Revenue" attribute="1" defaultMemberUniqueName="[Range 1].[Total_Revenue].[All]" allUniqueName="[Range 1].[Total_Revenue].[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627571990743" backgroundQuery="1" createdVersion="8" refreshedVersion="8" minRefreshableVersion="3" recordCount="0" supportSubquery="1" supportAdvancedDrill="1" xr:uid="{DE4C81F3-2376-4784-9E5E-38FD6004D779}">
  <cacheSource type="external" connectionId="1"/>
  <cacheFields count="3">
    <cacheField name="[Range 1].[Membership_Type].[Membership_Type]" caption="Membership_Type" numFmtId="0" hierarchy="19" level="1">
      <sharedItems count="2">
        <s v="Family"/>
        <s v="Premium"/>
      </sharedItems>
    </cacheField>
    <cacheField name="[Range 1].[City].[City]" caption="City" numFmtId="0" hierarchy="24" level="1">
      <sharedItems count="6">
        <s v="Bengaluru"/>
        <s v="Delhi"/>
        <s v="Hyderabad"/>
        <s v="Kolkata"/>
        <s v="Mumbai"/>
        <s v="Pune"/>
      </sharedItems>
    </cacheField>
    <cacheField name="[Measures].[Sum of Total_Revenue]" caption="Sum of Total_Revenue" numFmtId="0" hierarchy="35" level="32767"/>
  </cacheFields>
  <cacheHierarchies count="37">
    <cacheHierarchy uniqueName="[Range].[Member_ID]" caption="Member_ID" attribute="1" defaultMemberUniqueName="[Range].[Member_ID].[All]" allUniqueName="[Range].[Memb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Membership_Type]" caption="Membership_Type" attribute="1" defaultMemberUniqueName="[Range].[Membership_Type].[All]" allUniqueName="[Range].[Membership_Type].[All]" dimensionUniqueName="[Range]" displayFolder="" count="0" memberValueDatatype="130" unbalanced="0"/>
    <cacheHierarchy uniqueName="[Range].[Start_Date]" caption="Start_Date" attribute="1" time="1" defaultMemberUniqueName="[Range].[Start_Date].[All]" allUniqueName="[Range].[Start_Date].[All]" dimensionUniqueName="[Range]" displayFolder="" count="0" memberValueDatatype="7" unbalanced="0"/>
    <cacheHierarchy uniqueName="[Range].[End_Date]" caption="End_Date" attribute="1" time="1" defaultMemberUniqueName="[Range].[End_Date].[All]" allUniqueName="[Range].[End_Date].[All]" dimensionUniqueName="[Range]" displayFolder="" count="0" memberValueDatatype="7" unbalanced="0"/>
    <cacheHierarchy uniqueName="[Range].[Monthly_Fee]" caption="Monthly_Fee" attribute="1" defaultMemberUniqueName="[Range].[Monthly_Fee].[All]" allUniqueName="[Range].[Monthly_Fee].[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Referred_By]" caption="Referred_By" attribute="1" defaultMemberUniqueName="[Range].[Referred_By].[All]" allUniqueName="[Range].[Referred_By].[All]" dimensionUniqueName="[Range]" displayFolder="" count="0"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0" memberValueDatatype="20" unbalanced="0"/>
    <cacheHierarchy uniqueName="[Range].[Months and Days]" caption="Months and Days" attribute="1" defaultMemberUniqueName="[Range].[Months and Days].[All]" allUniqueName="[Range].[Months and Days].[All]" dimensionUniqueName="[Range]" displayFolder="" count="0" memberValueDatatype="130" unbalanced="0"/>
    <cacheHierarchy uniqueName="[Range].[Referral Impact]" caption="Referral Impact" attribute="1" defaultMemberUniqueName="[Range].[Referral Impact].[All]" allUniqueName="[Range].[Referral Impact].[All]" dimensionUniqueName="[Range]"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Full_Name]" caption="Full_Name" attribute="1" defaultMemberUniqueName="[Range 1].[Full_Name].[All]" allUniqueName="[Range 1].[Full_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Age Category]" caption="Age Category" attribute="1" defaultMemberUniqueName="[Range 1].[Age Category].[All]" allUniqueName="[Range 1].[Age Category].[All]" dimensionUniqueName="[Range 1]" displayFolder="" count="0" memberValueDatatype="130" unbalanced="0"/>
    <cacheHierarchy uniqueName="[Range 1].[Membership_Type]" caption="Membership_Type" attribute="1" defaultMemberUniqueName="[Range 1].[Membership_Type].[All]" allUniqueName="[Range 1].[Membership_Type].[All]" dimensionUniqueName="[Range 1]" displayFolder="" count="2" memberValueDatatype="130" unbalanced="0">
      <fieldsUsage count="2">
        <fieldUsage x="-1"/>
        <fieldUsage x="0"/>
      </fieldsUsage>
    </cacheHierarchy>
    <cacheHierarchy uniqueName="[Range 1].[Start_Date]" caption="Start_Date" attribute="1" time="1" defaultMemberUniqueName="[Range 1].[Start_Date].[All]" allUniqueName="[Range 1].[Start_Date].[All]" dimensionUniqueName="[Range 1]" displayFolder="" count="0" memberValueDatatype="7" unbalanced="0"/>
    <cacheHierarchy uniqueName="[Range 1].[End_Date]" caption="End_Date" attribute="1" time="1" defaultMemberUniqueName="[Range 1].[End_Date].[All]" allUniqueName="[Range 1].[End_Date].[All]" dimensionUniqueName="[Range 1]" displayFolder="" count="0" memberValueDatatype="7" unbalanced="0"/>
    <cacheHierarchy uniqueName="[Range 1].[Monthly_Fee]" caption="Monthly_Fee" attribute="1" defaultMemberUniqueName="[Range 1].[Monthly_Fee].[All]" allUniqueName="[Range 1].[Monthly_Fee].[All]" dimensionUniqueName="[Range 1]" displayFolder="" count="0" memberValueDatatype="20" unbalanced="0"/>
    <cacheHierarchy uniqueName="[Range 1].[Attendance]" caption="Attendance" attribute="1" defaultMemberUniqueName="[Range 1].[Attendance].[All]" allUniqueName="[Range 1].[Attendance].[All]" dimensionUniqueName="[Range 1]" displayFolder="" count="0" memberValueDatatype="20" unbalanced="0"/>
    <cacheHierarchy uniqueName="[Range 1].[City]" caption="City" attribute="1" defaultMemberUniqueName="[Range 1].[City].[All]" allUniqueName="[Range 1].[City].[All]" dimensionUniqueName="[Range 1]" displayFolder="" count="2" memberValueDatatype="130" unbalanced="0">
      <fieldsUsage count="2">
        <fieldUsage x="-1"/>
        <fieldUsage x="1"/>
      </fieldsUsage>
    </cacheHierarchy>
    <cacheHierarchy uniqueName="[Range 1].[Referred_By]" caption="Referred_By" attribute="1" defaultMemberUniqueName="[Range 1].[Referred_By].[All]" allUniqueName="[Range 1].[Referred_By].[All]" dimensionUniqueName="[Range 1]" displayFolder="" count="0"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0" memberValueDatatype="20" unbalanced="0"/>
    <cacheHierarchy uniqueName="[Range 1].[Months]" caption="Months" attribute="1" defaultMemberUniqueName="[Range 1].[Months].[All]" allUniqueName="[Range 1].[Months].[All]" dimensionUniqueName="[Range 1]" displayFolder="" count="0" memberValueDatatype="5" unbalanced="0"/>
    <cacheHierarchy uniqueName="[Range 1].[Referral Impact]" caption="Referral Impact" attribute="1" defaultMemberUniqueName="[Range 1].[Referral Impact].[All]" allUniqueName="[Range 1].[Referral Impact].[All]" dimensionUniqueName="[Range 1]" displayFolder="" count="0" memberValueDatatype="130" unbalanced="0"/>
    <cacheHierarchy uniqueName="[Range 1].[Total_Revenue]" caption="Total_Revenue" attribute="1" defaultMemberUniqueName="[Range 1].[Total_Revenue].[All]" allUniqueName="[Range 1].[Total_Revenue].[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hidden="1">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627573726852" backgroundQuery="1" createdVersion="8" refreshedVersion="8" minRefreshableVersion="3" recordCount="0" supportSubquery="1" supportAdvancedDrill="1" xr:uid="{7C57A70E-148C-4973-8302-E03ABC67DF26}">
  <cacheSource type="external" connectionId="1"/>
  <cacheFields count="4">
    <cacheField name="[Range 1].[City].[City]" caption="City" numFmtId="0" hierarchy="24" level="1">
      <sharedItems count="6">
        <s v="Bengaluru"/>
        <s v="Delhi"/>
        <s v="Hyderabad"/>
        <s v="Kolkata"/>
        <s v="Mumbai"/>
        <s v="Pune"/>
      </sharedItems>
    </cacheField>
    <cacheField name="[Range 1].[Membership_Type].[Membership_Type]" caption="Membership_Type" numFmtId="0" hierarchy="19" level="1">
      <sharedItems count="4">
        <s v="Basic"/>
        <s v="Family"/>
        <s v="Premium"/>
        <s v="Standard"/>
      </sharedItems>
    </cacheField>
    <cacheField name="[Measures].[Sum of Total_Revenue]" caption="Sum of Total_Revenue" numFmtId="0" hierarchy="35" level="32767"/>
    <cacheField name="[Range 1].[Referral Impact].[Referral Impact]" caption="Referral Impact" numFmtId="0" hierarchy="28" level="1">
      <sharedItems containsSemiMixedTypes="0" containsNonDate="0" containsString="0"/>
    </cacheField>
  </cacheFields>
  <cacheHierarchies count="37">
    <cacheHierarchy uniqueName="[Range].[Member_ID]" caption="Member_ID" attribute="1" defaultMemberUniqueName="[Range].[Member_ID].[All]" allUniqueName="[Range].[Memb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Membership_Type]" caption="Membership_Type" attribute="1" defaultMemberUniqueName="[Range].[Membership_Type].[All]" allUniqueName="[Range].[Membership_Type].[All]" dimensionUniqueName="[Range]" displayFolder="" count="0" memberValueDatatype="130" unbalanced="0"/>
    <cacheHierarchy uniqueName="[Range].[Start_Date]" caption="Start_Date" attribute="1" time="1" defaultMemberUniqueName="[Range].[Start_Date].[All]" allUniqueName="[Range].[Start_Date].[All]" dimensionUniqueName="[Range]" displayFolder="" count="0" memberValueDatatype="7" unbalanced="0"/>
    <cacheHierarchy uniqueName="[Range].[End_Date]" caption="End_Date" attribute="1" time="1" defaultMemberUniqueName="[Range].[End_Date].[All]" allUniqueName="[Range].[End_Date].[All]" dimensionUniqueName="[Range]" displayFolder="" count="0" memberValueDatatype="7" unbalanced="0"/>
    <cacheHierarchy uniqueName="[Range].[Monthly_Fee]" caption="Monthly_Fee" attribute="1" defaultMemberUniqueName="[Range].[Monthly_Fee].[All]" allUniqueName="[Range].[Monthly_Fee].[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Referred_By]" caption="Referred_By" attribute="1" defaultMemberUniqueName="[Range].[Referred_By].[All]" allUniqueName="[Range].[Referred_By].[All]" dimensionUniqueName="[Range]" displayFolder="" count="0"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0" memberValueDatatype="20" unbalanced="0"/>
    <cacheHierarchy uniqueName="[Range].[Months and Days]" caption="Months and Days" attribute="1" defaultMemberUniqueName="[Range].[Months and Days].[All]" allUniqueName="[Range].[Months and Days].[All]" dimensionUniqueName="[Range]" displayFolder="" count="0" memberValueDatatype="130" unbalanced="0"/>
    <cacheHierarchy uniqueName="[Range].[Referral Impact]" caption="Referral Impact" attribute="1" defaultMemberUniqueName="[Range].[Referral Impact].[All]" allUniqueName="[Range].[Referral Impact].[All]" dimensionUniqueName="[Range]"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Full_Name]" caption="Full_Name" attribute="1" defaultMemberUniqueName="[Range 1].[Full_Name].[All]" allUniqueName="[Range 1].[Full_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Age Category]" caption="Age Category" attribute="1" defaultMemberUniqueName="[Range 1].[Age Category].[All]" allUniqueName="[Range 1].[Age Category].[All]" dimensionUniqueName="[Range 1]" displayFolder="" count="0" memberValueDatatype="130" unbalanced="0"/>
    <cacheHierarchy uniqueName="[Range 1].[Membership_Type]" caption="Membership_Type" attribute="1" defaultMemberUniqueName="[Range 1].[Membership_Type].[All]" allUniqueName="[Range 1].[Membership_Type].[All]" dimensionUniqueName="[Range 1]" displayFolder="" count="2" memberValueDatatype="130" unbalanced="0">
      <fieldsUsage count="2">
        <fieldUsage x="-1"/>
        <fieldUsage x="1"/>
      </fieldsUsage>
    </cacheHierarchy>
    <cacheHierarchy uniqueName="[Range 1].[Start_Date]" caption="Start_Date" attribute="1" time="1" defaultMemberUniqueName="[Range 1].[Start_Date].[All]" allUniqueName="[Range 1].[Start_Date].[All]" dimensionUniqueName="[Range 1]" displayFolder="" count="0" memberValueDatatype="7" unbalanced="0"/>
    <cacheHierarchy uniqueName="[Range 1].[End_Date]" caption="End_Date" attribute="1" time="1" defaultMemberUniqueName="[Range 1].[End_Date].[All]" allUniqueName="[Range 1].[End_Date].[All]" dimensionUniqueName="[Range 1]" displayFolder="" count="0" memberValueDatatype="7" unbalanced="0"/>
    <cacheHierarchy uniqueName="[Range 1].[Monthly_Fee]" caption="Monthly_Fee" attribute="1" defaultMemberUniqueName="[Range 1].[Monthly_Fee].[All]" allUniqueName="[Range 1].[Monthly_Fee].[All]" dimensionUniqueName="[Range 1]" displayFolder="" count="0" memberValueDatatype="20" unbalanced="0"/>
    <cacheHierarchy uniqueName="[Range 1].[Attendance]" caption="Attendance" attribute="1" defaultMemberUniqueName="[Range 1].[Attendance].[All]" allUniqueName="[Range 1].[Attendance].[All]" dimensionUniqueName="[Range 1]" displayFolder="" count="0" memberValueDatatype="20" unbalanced="0"/>
    <cacheHierarchy uniqueName="[Range 1].[City]" caption="City" attribute="1" defaultMemberUniqueName="[Range 1].[City].[All]" allUniqueName="[Range 1].[City].[All]" dimensionUniqueName="[Range 1]" displayFolder="" count="2" memberValueDatatype="130" unbalanced="0">
      <fieldsUsage count="2">
        <fieldUsage x="-1"/>
        <fieldUsage x="0"/>
      </fieldsUsage>
    </cacheHierarchy>
    <cacheHierarchy uniqueName="[Range 1].[Referred_By]" caption="Referred_By" attribute="1" defaultMemberUniqueName="[Range 1].[Referred_By].[All]" allUniqueName="[Range 1].[Referred_By].[All]" dimensionUniqueName="[Range 1]" displayFolder="" count="0"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0" memberValueDatatype="20" unbalanced="0"/>
    <cacheHierarchy uniqueName="[Range 1].[Months]" caption="Months" attribute="1" defaultMemberUniqueName="[Range 1].[Months].[All]" allUniqueName="[Range 1].[Months].[All]" dimensionUniqueName="[Range 1]" displayFolder="" count="0" memberValueDatatype="5" unbalanced="0"/>
    <cacheHierarchy uniqueName="[Range 1].[Referral Impact]" caption="Referral Impact" attribute="1" defaultMemberUniqueName="[Range 1].[Referral Impact].[All]" allUniqueName="[Range 1].[Referral Impact].[All]" dimensionUniqueName="[Range 1]" displayFolder="" count="2" memberValueDatatype="130" unbalanced="0">
      <fieldsUsage count="2">
        <fieldUsage x="-1"/>
        <fieldUsage x="3"/>
      </fieldsUsage>
    </cacheHierarchy>
    <cacheHierarchy uniqueName="[Range 1].[Total_Revenue]" caption="Total_Revenue" attribute="1" defaultMemberUniqueName="[Range 1].[Total_Revenue].[All]" allUniqueName="[Range 1].[Total_Revenue].[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hidden="1">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oneField="1" hidden="1">
      <fieldsUsage count="1">
        <fieldUsage x="2"/>
      </fieldsUsage>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798067592594" backgroundQuery="1" createdVersion="8" refreshedVersion="8" minRefreshableVersion="3" recordCount="0" supportSubquery="1" supportAdvancedDrill="1" xr:uid="{3C7DAC71-F8EA-4116-AD16-D5D3EBBEDAB9}">
  <cacheSource type="external" connectionId="1"/>
  <cacheFields count="4">
    <cacheField name="[Measures].[Average of Total_Revenue]" caption="Average of Total_Revenue" numFmtId="0" hierarchy="36" level="32767"/>
    <cacheField name="[Range 1].[Age Category].[Age Category]" caption="Age Category" numFmtId="0" hierarchy="18" level="1">
      <sharedItems count="3">
        <s v="Adult"/>
        <s v="Senior"/>
        <s v="Youth"/>
      </sharedItems>
    </cacheField>
    <cacheField name="[Range 1].[Membership_Type].[Membership_Type]" caption="Membership_Type" numFmtId="0" hierarchy="19" level="1">
      <sharedItems count="4">
        <s v="Basic"/>
        <s v="Family"/>
        <s v="Premium"/>
        <s v="Standard"/>
      </sharedItems>
    </cacheField>
    <cacheField name="[Range 1].[City].[City]" caption="City" numFmtId="0" hierarchy="24" level="1">
      <sharedItems containsSemiMixedTypes="0" containsNonDate="0" containsString="0"/>
    </cacheField>
  </cacheFields>
  <cacheHierarchies count="37">
    <cacheHierarchy uniqueName="[Range].[Member_ID]" caption="Member_ID" attribute="1" defaultMemberUniqueName="[Range].[Member_ID].[All]" allUniqueName="[Range].[Member_ID].[All]" dimensionUniqueName="[Range]" displayFolder="" count="2" memberValueDatatype="130" unbalanced="0"/>
    <cacheHierarchy uniqueName="[Range].[Full_Name]" caption="Full_Name" attribute="1" defaultMemberUniqueName="[Range].[Full_Name].[All]" allUniqueName="[Range].[Full_Name].[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Gender]" caption="Gender" attribute="1" defaultMemberUniqueName="[Range].[Gender].[All]" allUniqueName="[Range].[Gender].[All]" dimensionUniqueName="[Range]" displayFolder="" count="2" memberValueDatatype="130" unbalanced="0"/>
    <cacheHierarchy uniqueName="[Range].[Membership_Type]" caption="Membership_Type" attribute="1" defaultMemberUniqueName="[Range].[Membership_Type].[All]" allUniqueName="[Range].[Membership_Type].[All]" dimensionUniqueName="[Range]" displayFolder="" count="2" memberValueDatatype="130" unbalanced="0"/>
    <cacheHierarchy uniqueName="[Range].[Start_Date]" caption="Start_Date" attribute="1" time="1" defaultMemberUniqueName="[Range].[Start_Date].[All]" allUniqueName="[Range].[Start_Date].[All]" dimensionUniqueName="[Range]" displayFolder="" count="2" memberValueDatatype="7" unbalanced="0"/>
    <cacheHierarchy uniqueName="[Range].[End_Date]" caption="End_Date" attribute="1" time="1" defaultMemberUniqueName="[Range].[End_Date].[All]" allUniqueName="[Range].[End_Date].[All]" dimensionUniqueName="[Range]" displayFolder="" count="2" memberValueDatatype="7" unbalanced="0"/>
    <cacheHierarchy uniqueName="[Range].[Monthly_Fee]" caption="Monthly_Fee" attribute="1" defaultMemberUniqueName="[Range].[Monthly_Fee].[All]" allUniqueName="[Range].[Monthly_Fee].[All]" dimensionUniqueName="[Range]" displayFolder="" count="2" memberValueDatatype="20" unbalanced="0"/>
    <cacheHierarchy uniqueName="[Range].[Attendance]" caption="Attendance" attribute="1" defaultMemberUniqueName="[Range].[Attendance].[All]" allUniqueName="[Range].[Attendance].[All]" dimensionUniqueName="[Range]" displayFolder="" count="2" memberValueDatatype="20" unbalanced="0"/>
    <cacheHierarchy uniqueName="[Range].[City]" caption="City" attribute="1" defaultMemberUniqueName="[Range].[City].[All]" allUniqueName="[Range].[City].[All]" dimensionUniqueName="[Range]" displayFolder="" count="2" memberValueDatatype="130" unbalanced="0"/>
    <cacheHierarchy uniqueName="[Range].[Referred_By]" caption="Referred_By" attribute="1" defaultMemberUniqueName="[Range].[Referred_By].[All]" allUniqueName="[Range].[Referred_By].[All]" dimensionUniqueName="[Range]" displayFolder="" count="2"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2" memberValueDatatype="20" unbalanced="0"/>
    <cacheHierarchy uniqueName="[Range].[Months and Days]" caption="Months and Days" attribute="1" defaultMemberUniqueName="[Range].[Months and Days].[All]" allUniqueName="[Range].[Months and Days].[All]" dimensionUniqueName="[Range]" displayFolder="" count="2" memberValueDatatype="130" unbalanced="0"/>
    <cacheHierarchy uniqueName="[Range].[Referral Impact]" caption="Referral Impact" attribute="1" defaultMemberUniqueName="[Range].[Referral Impact].[All]" allUniqueName="[Range].[Referral Impact].[All]" dimensionUniqueName="[Range]" displayFolder="" count="2" memberValueDatatype="130" unbalanced="0"/>
    <cacheHierarchy uniqueName="[Range 1].[Member_ID]" caption="Member_ID" attribute="1" defaultMemberUniqueName="[Range 1].[Member_ID].[All]" allUniqueName="[Range 1].[Member_ID].[All]" dimensionUniqueName="[Range 1]" displayFolder="" count="2" memberValueDatatype="130" unbalanced="0"/>
    <cacheHierarchy uniqueName="[Range 1].[Full_Name]" caption="Full_Name" attribute="1" defaultMemberUniqueName="[Range 1].[Full_Name].[All]" allUniqueName="[Range 1].[Full_Name].[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Gender]" caption="Gender" attribute="1" defaultMemberUniqueName="[Range 1].[Gender].[All]" allUniqueName="[Range 1].[Gender].[All]" dimensionUniqueName="[Range 1]" displayFolder="" count="2" memberValueDatatype="130" unbalanced="0"/>
    <cacheHierarchy uniqueName="[Range 1].[Age Category]" caption="Age Category" attribute="1" defaultMemberUniqueName="[Range 1].[Age Category].[All]" allUniqueName="[Range 1].[Age Category].[All]" dimensionUniqueName="[Range 1]" displayFolder="" count="2" memberValueDatatype="130" unbalanced="0">
      <fieldsUsage count="2">
        <fieldUsage x="-1"/>
        <fieldUsage x="1"/>
      </fieldsUsage>
    </cacheHierarchy>
    <cacheHierarchy uniqueName="[Range 1].[Membership_Type]" caption="Membership_Type" attribute="1" defaultMemberUniqueName="[Range 1].[Membership_Type].[All]" allUniqueName="[Range 1].[Membership_Type].[All]" dimensionUniqueName="[Range 1]" displayFolder="" count="2" memberValueDatatype="130" unbalanced="0">
      <fieldsUsage count="2">
        <fieldUsage x="-1"/>
        <fieldUsage x="2"/>
      </fieldsUsage>
    </cacheHierarchy>
    <cacheHierarchy uniqueName="[Range 1].[Start_Date]" caption="Start_Date" attribute="1" time="1" defaultMemberUniqueName="[Range 1].[Start_Date].[All]" allUniqueName="[Range 1].[Start_Date].[All]" dimensionUniqueName="[Range 1]" displayFolder="" count="2" memberValueDatatype="7" unbalanced="0"/>
    <cacheHierarchy uniqueName="[Range 1].[End_Date]" caption="End_Date" attribute="1" time="1" defaultMemberUniqueName="[Range 1].[End_Date].[All]" allUniqueName="[Range 1].[End_Date].[All]" dimensionUniqueName="[Range 1]" displayFolder="" count="2" memberValueDatatype="7" unbalanced="0"/>
    <cacheHierarchy uniqueName="[Range 1].[Monthly_Fee]" caption="Monthly_Fee" attribute="1" defaultMemberUniqueName="[Range 1].[Monthly_Fee].[All]" allUniqueName="[Range 1].[Monthly_Fee].[All]" dimensionUniqueName="[Range 1]" displayFolder="" count="2" memberValueDatatype="20" unbalanced="0"/>
    <cacheHierarchy uniqueName="[Range 1].[Attendance]" caption="Attendance" attribute="1" defaultMemberUniqueName="[Range 1].[Attendance].[All]" allUniqueName="[Range 1].[Attendance].[All]" dimensionUniqueName="[Range 1]" displayFolder="" count="2" memberValueDatatype="20" unbalanced="0"/>
    <cacheHierarchy uniqueName="[Range 1].[City]" caption="City" attribute="1" defaultMemberUniqueName="[Range 1].[City].[All]" allUniqueName="[Range 1].[City].[All]" dimensionUniqueName="[Range 1]" displayFolder="" count="2" memberValueDatatype="130" unbalanced="0">
      <fieldsUsage count="2">
        <fieldUsage x="-1"/>
        <fieldUsage x="3"/>
      </fieldsUsage>
    </cacheHierarchy>
    <cacheHierarchy uniqueName="[Range 1].[Referred_By]" caption="Referred_By" attribute="1" defaultMemberUniqueName="[Range 1].[Referred_By].[All]" allUniqueName="[Range 1].[Referred_By].[All]" dimensionUniqueName="[Range 1]" displayFolder="" count="2"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2" memberValueDatatype="20" unbalanced="0"/>
    <cacheHierarchy uniqueName="[Range 1].[Months]" caption="Months" attribute="1" defaultMemberUniqueName="[Range 1].[Months].[All]" allUniqueName="[Range 1].[Months].[All]" dimensionUniqueName="[Range 1]" displayFolder="" count="2" memberValueDatatype="5" unbalanced="0"/>
    <cacheHierarchy uniqueName="[Range 1].[Referral Impact]" caption="Referral Impact" attribute="1" defaultMemberUniqueName="[Range 1].[Referral Impact].[All]" allUniqueName="[Range 1].[Referral Impact].[All]" dimensionUniqueName="[Range 1]" displayFolder="" count="2" memberValueDatatype="130" unbalanced="0"/>
    <cacheHierarchy uniqueName="[Range 1].[Total_Revenue]" caption="Total_Revenue" attribute="1" defaultMemberUniqueName="[Range 1].[Total_Revenue].[All]" allUniqueName="[Range 1].[Total_Revenue].[All]" dimensionUniqueName="[Range 1]"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hidden="1">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627572800928" backgroundQuery="1" createdVersion="3" refreshedVersion="8" minRefreshableVersion="3" recordCount="0" supportSubquery="1" supportAdvancedDrill="1" xr:uid="{6706AD49-12C1-4FFC-A320-AFA23CAE7EFE}">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Member_ID]" caption="Member_ID" attribute="1" defaultMemberUniqueName="[Range].[Member_ID].[All]" allUniqueName="[Range].[Memb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Membership_Type]" caption="Membership_Type" attribute="1" defaultMemberUniqueName="[Range].[Membership_Type].[All]" allUniqueName="[Range].[Membership_Type].[All]" dimensionUniqueName="[Range]" displayFolder="" count="0" memberValueDatatype="130" unbalanced="0"/>
    <cacheHierarchy uniqueName="[Range].[Start_Date]" caption="Start_Date" attribute="1" time="1" defaultMemberUniqueName="[Range].[Start_Date].[All]" allUniqueName="[Range].[Start_Date].[All]" dimensionUniqueName="[Range]" displayFolder="" count="0" memberValueDatatype="7" unbalanced="0"/>
    <cacheHierarchy uniqueName="[Range].[End_Date]" caption="End_Date" attribute="1" time="1" defaultMemberUniqueName="[Range].[End_Date].[All]" allUniqueName="[Range].[End_Date].[All]" dimensionUniqueName="[Range]" displayFolder="" count="0" memberValueDatatype="7" unbalanced="0"/>
    <cacheHierarchy uniqueName="[Range].[Monthly_Fee]" caption="Monthly_Fee" attribute="1" defaultMemberUniqueName="[Range].[Monthly_Fee].[All]" allUniqueName="[Range].[Monthly_Fee].[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Referred_By]" caption="Referred_By" attribute="1" defaultMemberUniqueName="[Range].[Referred_By].[All]" allUniqueName="[Range].[Referred_By].[All]" dimensionUniqueName="[Range]" displayFolder="" count="0"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0" memberValueDatatype="20" unbalanced="0"/>
    <cacheHierarchy uniqueName="[Range].[Months and Days]" caption="Months and Days" attribute="1" defaultMemberUniqueName="[Range].[Months and Days].[All]" allUniqueName="[Range].[Months and Days].[All]" dimensionUniqueName="[Range]" displayFolder="" count="0" memberValueDatatype="130" unbalanced="0"/>
    <cacheHierarchy uniqueName="[Range].[Referral Impact]" caption="Referral Impact" attribute="1" defaultMemberUniqueName="[Range].[Referral Impact].[All]" allUniqueName="[Range].[Referral Impact].[All]" dimensionUniqueName="[Range]"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Full_Name]" caption="Full_Name" attribute="1" defaultMemberUniqueName="[Range 1].[Full_Name].[All]" allUniqueName="[Range 1].[Full_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Age Category]" caption="Age Category" attribute="1" defaultMemberUniqueName="[Range 1].[Age Category].[All]" allUniqueName="[Range 1].[Age Category].[All]" dimensionUniqueName="[Range 1]" displayFolder="" count="0" memberValueDatatype="130" unbalanced="0"/>
    <cacheHierarchy uniqueName="[Range 1].[Membership_Type]" caption="Membership_Type" attribute="1" defaultMemberUniqueName="[Range 1].[Membership_Type].[All]" allUniqueName="[Range 1].[Membership_Type].[All]" dimensionUniqueName="[Range 1]" displayFolder="" count="0" memberValueDatatype="130" unbalanced="0"/>
    <cacheHierarchy uniqueName="[Range 1].[Start_Date]" caption="Start_Date" attribute="1" time="1" defaultMemberUniqueName="[Range 1].[Start_Date].[All]" allUniqueName="[Range 1].[Start_Date].[All]" dimensionUniqueName="[Range 1]" displayFolder="" count="0" memberValueDatatype="7" unbalanced="0"/>
    <cacheHierarchy uniqueName="[Range 1].[End_Date]" caption="End_Date" attribute="1" time="1" defaultMemberUniqueName="[Range 1].[End_Date].[All]" allUniqueName="[Range 1].[End_Date].[All]" dimensionUniqueName="[Range 1]" displayFolder="" count="0" memberValueDatatype="7" unbalanced="0"/>
    <cacheHierarchy uniqueName="[Range 1].[Monthly_Fee]" caption="Monthly_Fee" attribute="1" defaultMemberUniqueName="[Range 1].[Monthly_Fee].[All]" allUniqueName="[Range 1].[Monthly_Fee].[All]" dimensionUniqueName="[Range 1]" displayFolder="" count="0" memberValueDatatype="20" unbalanced="0"/>
    <cacheHierarchy uniqueName="[Range 1].[Attendance]" caption="Attendance" attribute="1" defaultMemberUniqueName="[Range 1].[Attendance].[All]" allUniqueName="[Range 1].[Attendance].[All]" dimensionUniqueName="[Range 1]" displayFolder="" count="0" memberValueDatatype="20" unbalanced="0"/>
    <cacheHierarchy uniqueName="[Range 1].[City]" caption="City" attribute="1" defaultMemberUniqueName="[Range 1].[City].[All]" allUniqueName="[Range 1].[City].[All]" dimensionUniqueName="[Range 1]" displayFolder="" count="0" memberValueDatatype="130" unbalanced="0"/>
    <cacheHierarchy uniqueName="[Range 1].[Referred_By]" caption="Referred_By" attribute="1" defaultMemberUniqueName="[Range 1].[Referred_By].[All]" allUniqueName="[Range 1].[Referred_By].[All]" dimensionUniqueName="[Range 1]" displayFolder="" count="0"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0" memberValueDatatype="20" unbalanced="0"/>
    <cacheHierarchy uniqueName="[Range 1].[Months]" caption="Months" attribute="1" defaultMemberUniqueName="[Range 1].[Months].[All]" allUniqueName="[Range 1].[Months].[All]" dimensionUniqueName="[Range 1]" displayFolder="" count="0" memberValueDatatype="5" unbalanced="0"/>
    <cacheHierarchy uniqueName="[Range 1].[Referral Impact]" caption="Referral Impact" attribute="1" defaultMemberUniqueName="[Range 1].[Referral Impact].[All]" allUniqueName="[Range 1].[Referral Impact].[All]" dimensionUniqueName="[Range 1]" displayFolder="" count="2" memberValueDatatype="130" unbalanced="0"/>
    <cacheHierarchy uniqueName="[Range 1].[Total_Revenue]" caption="Total_Revenue" attribute="1" defaultMemberUniqueName="[Range 1].[Total_Revenue].[All]" allUniqueName="[Range 1].[Total_Revenue].[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hidden="1">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139319840"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tul" refreshedDate="45977.628443634261" backgroundQuery="1" createdVersion="3" refreshedVersion="8" minRefreshableVersion="3" recordCount="0" supportSubquery="1" supportAdvancedDrill="1" xr:uid="{326A3188-B8CB-49AC-9B13-5C97E3788952}">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Member_ID]" caption="Member_ID" attribute="1" defaultMemberUniqueName="[Range].[Member_ID].[All]" allUniqueName="[Range].[Member_ID].[All]" dimensionUniqueName="[Range]" displayFolder="" count="0" memberValueDatatype="130" unbalanced="0"/>
    <cacheHierarchy uniqueName="[Range].[Full_Name]" caption="Full_Name" attribute="1" defaultMemberUniqueName="[Range].[Full_Name].[All]" allUniqueName="[Range].[Full_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Membership_Type]" caption="Membership_Type" attribute="1" defaultMemberUniqueName="[Range].[Membership_Type].[All]" allUniqueName="[Range].[Membership_Type].[All]" dimensionUniqueName="[Range]" displayFolder="" count="0" memberValueDatatype="130" unbalanced="0"/>
    <cacheHierarchy uniqueName="[Range].[Start_Date]" caption="Start_Date" attribute="1" time="1" defaultMemberUniqueName="[Range].[Start_Date].[All]" allUniqueName="[Range].[Start_Date].[All]" dimensionUniqueName="[Range]" displayFolder="" count="0" memberValueDatatype="7" unbalanced="0"/>
    <cacheHierarchy uniqueName="[Range].[End_Date]" caption="End_Date" attribute="1" time="1" defaultMemberUniqueName="[Range].[End_Date].[All]" allUniqueName="[Range].[End_Date].[All]" dimensionUniqueName="[Range]" displayFolder="" count="0" memberValueDatatype="7" unbalanced="0"/>
    <cacheHierarchy uniqueName="[Range].[Monthly_Fee]" caption="Monthly_Fee" attribute="1" defaultMemberUniqueName="[Range].[Monthly_Fee].[All]" allUniqueName="[Range].[Monthly_Fee].[All]" dimensionUniqueName="[Range]" displayFolder="" count="0" memberValueDatatype="20" unbalanced="0"/>
    <cacheHierarchy uniqueName="[Range].[Attendance]" caption="Attendance" attribute="1" defaultMemberUniqueName="[Range].[Attendance].[All]" allUniqueName="[Range].[Attendance].[All]" dimensionUniqueName="[Range]" displayFolder="" count="0" memberValueDatatype="20" unbalanced="0"/>
    <cacheHierarchy uniqueName="[Range].[City]" caption="City" attribute="1" defaultMemberUniqueName="[Range].[City].[All]" allUniqueName="[Range].[City].[All]" dimensionUniqueName="[Range]" displayFolder="" count="0" memberValueDatatype="130" unbalanced="0"/>
    <cacheHierarchy uniqueName="[Range].[Referred_By]" caption="Referred_By" attribute="1" defaultMemberUniqueName="[Range].[Referred_By].[All]" allUniqueName="[Range].[Referred_By].[All]" dimensionUniqueName="[Range]" displayFolder="" count="0" memberValueDatatype="130" unbalanced="0"/>
    <cacheHierarchy uniqueName="[Range].[Membership_Duration_Months]" caption="Membership_Duration_Months" attribute="1" defaultMemberUniqueName="[Range].[Membership_Duration_Months].[All]" allUniqueName="[Range].[Membership_Duration_Months].[All]" dimensionUniqueName="[Range]" displayFolder="" count="0" memberValueDatatype="20" unbalanced="0"/>
    <cacheHierarchy uniqueName="[Range].[Months and Days]" caption="Months and Days" attribute="1" defaultMemberUniqueName="[Range].[Months and Days].[All]" allUniqueName="[Range].[Months and Days].[All]" dimensionUniqueName="[Range]" displayFolder="" count="0" memberValueDatatype="130" unbalanced="0"/>
    <cacheHierarchy uniqueName="[Range].[Referral Impact]" caption="Referral Impact" attribute="1" defaultMemberUniqueName="[Range].[Referral Impact].[All]" allUniqueName="[Range].[Referral Impact].[All]" dimensionUniqueName="[Range]" displayFolder="" count="0" memberValueDatatype="130" unbalanced="0"/>
    <cacheHierarchy uniqueName="[Range 1].[Member_ID]" caption="Member_ID" attribute="1" defaultMemberUniqueName="[Range 1].[Member_ID].[All]" allUniqueName="[Range 1].[Member_ID].[All]" dimensionUniqueName="[Range 1]" displayFolder="" count="0" memberValueDatatype="130" unbalanced="0"/>
    <cacheHierarchy uniqueName="[Range 1].[Full_Name]" caption="Full_Name" attribute="1" defaultMemberUniqueName="[Range 1].[Full_Name].[All]" allUniqueName="[Range 1].[Full_Name].[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Gender]" caption="Gender" attribute="1" defaultMemberUniqueName="[Range 1].[Gender].[All]" allUniqueName="[Range 1].[Gender].[All]" dimensionUniqueName="[Range 1]" displayFolder="" count="0" memberValueDatatype="130" unbalanced="0"/>
    <cacheHierarchy uniqueName="[Range 1].[Age Category]" caption="Age Category" attribute="1" defaultMemberUniqueName="[Range 1].[Age Category].[All]" allUniqueName="[Range 1].[Age Category].[All]" dimensionUniqueName="[Range 1]" displayFolder="" count="0" memberValueDatatype="130" unbalanced="0"/>
    <cacheHierarchy uniqueName="[Range 1].[Membership_Type]" caption="Membership_Type" attribute="1" defaultMemberUniqueName="[Range 1].[Membership_Type].[All]" allUniqueName="[Range 1].[Membership_Type].[All]" dimensionUniqueName="[Range 1]" displayFolder="" count="0" memberValueDatatype="130" unbalanced="0"/>
    <cacheHierarchy uniqueName="[Range 1].[Start_Date]" caption="Start_Date" attribute="1" time="1" defaultMemberUniqueName="[Range 1].[Start_Date].[All]" allUniqueName="[Range 1].[Start_Date].[All]" dimensionUniqueName="[Range 1]" displayFolder="" count="0" memberValueDatatype="7" unbalanced="0"/>
    <cacheHierarchy uniqueName="[Range 1].[End_Date]" caption="End_Date" attribute="1" time="1" defaultMemberUniqueName="[Range 1].[End_Date].[All]" allUniqueName="[Range 1].[End_Date].[All]" dimensionUniqueName="[Range 1]" displayFolder="" count="0" memberValueDatatype="7" unbalanced="0"/>
    <cacheHierarchy uniqueName="[Range 1].[Monthly_Fee]" caption="Monthly_Fee" attribute="1" defaultMemberUniqueName="[Range 1].[Monthly_Fee].[All]" allUniqueName="[Range 1].[Monthly_Fee].[All]" dimensionUniqueName="[Range 1]" displayFolder="" count="0" memberValueDatatype="20" unbalanced="0"/>
    <cacheHierarchy uniqueName="[Range 1].[Attendance]" caption="Attendance" attribute="1" defaultMemberUniqueName="[Range 1].[Attendance].[All]" allUniqueName="[Range 1].[Attendance].[All]" dimensionUniqueName="[Range 1]" displayFolder="" count="0" memberValueDatatype="20" unbalanced="0"/>
    <cacheHierarchy uniqueName="[Range 1].[City]" caption="City" attribute="1" defaultMemberUniqueName="[Range 1].[City].[All]" allUniqueName="[Range 1].[City].[All]" dimensionUniqueName="[Range 1]" displayFolder="" count="2" memberValueDatatype="130" unbalanced="0"/>
    <cacheHierarchy uniqueName="[Range 1].[Referred_By]" caption="Referred_By" attribute="1" defaultMemberUniqueName="[Range 1].[Referred_By].[All]" allUniqueName="[Range 1].[Referred_By].[All]" dimensionUniqueName="[Range 1]" displayFolder="" count="0" memberValueDatatype="130" unbalanced="0"/>
    <cacheHierarchy uniqueName="[Range 1].[Membership_Duration_Months]" caption="Membership_Duration_Months" attribute="1" defaultMemberUniqueName="[Range 1].[Membership_Duration_Months].[All]" allUniqueName="[Range 1].[Membership_Duration_Months].[All]" dimensionUniqueName="[Range 1]" displayFolder="" count="0" memberValueDatatype="20" unbalanced="0"/>
    <cacheHierarchy uniqueName="[Range 1].[Months]" caption="Months" attribute="1" defaultMemberUniqueName="[Range 1].[Months].[All]" allUniqueName="[Range 1].[Months].[All]" dimensionUniqueName="[Range 1]" displayFolder="" count="0" memberValueDatatype="5" unbalanced="0"/>
    <cacheHierarchy uniqueName="[Range 1].[Referral Impact]" caption="Referral Impact" attribute="1" defaultMemberUniqueName="[Range 1].[Referral Impact].[All]" allUniqueName="[Range 1].[Referral Impact].[All]" dimensionUniqueName="[Range 1]" displayFolder="" count="0" memberValueDatatype="130" unbalanced="0"/>
    <cacheHierarchy uniqueName="[Range 1].[Total_Revenue]" caption="Total_Revenue" attribute="1" defaultMemberUniqueName="[Range 1].[Total_Revenue].[All]" allUniqueName="[Range 1].[Total_Revenue].[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Sum of Monthly_Fee]" caption="Sum of Monthly_Fee" measure="1" displayFolder="" measureGroup="Range" count="0" hidden="1">
      <extLst>
        <ext xmlns:x15="http://schemas.microsoft.com/office/spreadsheetml/2010/11/main" uri="{B97F6D7D-B522-45F9-BDA1-12C45D357490}">
          <x15:cacheHierarchy aggregatedColumn="7"/>
        </ext>
      </extLst>
    </cacheHierarchy>
    <cacheHierarchy uniqueName="[Measures].[Average of Monthly_Fee]" caption="Average of Monthly_Fee" measure="1" displayFolder="" measureGroup="Range" count="0" hidden="1">
      <extLst>
        <ext xmlns:x15="http://schemas.microsoft.com/office/spreadsheetml/2010/11/main" uri="{B97F6D7D-B522-45F9-BDA1-12C45D357490}">
          <x15:cacheHierarchy aggregatedColumn="7"/>
        </ext>
      </extLst>
    </cacheHierarchy>
    <cacheHierarchy uniqueName="[Measures].[Sum of Total_Revenue]" caption="Sum of Total_Revenue" measure="1" displayFolder="" measureGroup="Range 1" count="0" hidden="1">
      <extLst>
        <ext xmlns:x15="http://schemas.microsoft.com/office/spreadsheetml/2010/11/main" uri="{B97F6D7D-B522-45F9-BDA1-12C45D357490}">
          <x15:cacheHierarchy aggregatedColumn="29"/>
        </ext>
      </extLst>
    </cacheHierarchy>
    <cacheHierarchy uniqueName="[Measures].[Average of Total_Revenue]" caption="Average of Total_Revenue" measure="1" displayFolder="" measureGroup="Range 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5910776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1DB419-B86B-4B3E-AA6E-7350B2FD60C3}" name="PivotTable4" cacheId="7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E7"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3">
    <i>
      <x/>
    </i>
    <i>
      <x v="1"/>
    </i>
    <i>
      <x v="2"/>
    </i>
  </rowItems>
  <colFields count="1">
    <field x="2"/>
  </colFields>
  <colItems count="4">
    <i>
      <x/>
    </i>
    <i>
      <x v="1"/>
    </i>
    <i>
      <x v="2"/>
    </i>
    <i>
      <x v="3"/>
    </i>
  </colItems>
  <dataFields count="1">
    <dataField name="Average of Total_Revenue" fld="0" subtotal="average"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ange 1].[City].&amp;[Bengaluru]"/>
        <member name="[Range 1].[City].&amp;[Delhi]"/>
        <member name="[Range 1].[City].&amp;[Hyderabad]"/>
        <member name="[Range 1].[City].&amp;[Mumbai]"/>
        <member name="[Range 1].[City].&amp;[Pune]"/>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Revenue"/>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O$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BF8168-49D7-458C-BD8B-DDF50F30913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1"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5">
    <i>
      <x/>
    </i>
    <i>
      <x v="1"/>
    </i>
    <i>
      <x v="2"/>
    </i>
    <i>
      <x v="3"/>
    </i>
    <i t="grand">
      <x/>
    </i>
  </colItems>
  <dataFields count="1">
    <dataField name="Sum of Total_Revenue" fld="2" baseField="0" baseItem="0"/>
  </dataFields>
  <chartFormats count="8">
    <chartFormat chart="0" format="8" series="1">
      <pivotArea type="data" outline="0" fieldPosition="0">
        <references count="2">
          <reference field="4294967294" count="1" selected="0">
            <x v="0"/>
          </reference>
          <reference field="1"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2">
          <reference field="4294967294" count="1" selected="0">
            <x v="0"/>
          </reference>
          <reference field="1" count="1" selected="0">
            <x v="2"/>
          </reference>
        </references>
      </pivotArea>
    </chartFormat>
    <chartFormat chart="0" format="11" series="1">
      <pivotArea type="data" outline="0" fieldPosition="0">
        <references count="2">
          <reference field="4294967294" count="1" selected="0">
            <x v="0"/>
          </reference>
          <reference field="1" count="1" selected="0">
            <x v="3"/>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nge 1].[Referral Impact].&amp;[No]"/>
      </members>
    </pivotHierarchy>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O$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473C98-C680-4F10-A232-18F8C833C7CA}"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11" firstHeaderRow="1" firstDataRow="2" firstDataCol="1"/>
  <pivotFields count="3">
    <pivotField axis="axisCol" allDrilled="1" subtotalTop="0" showAll="0" dataSourceSort="1" defaultSubtotal="0" defaultAttributeDrillState="1">
      <items count="2">
        <item s="1" x="0"/>
        <item s="1"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Fields count="1">
    <field x="0"/>
  </colFields>
  <colItems count="3">
    <i>
      <x/>
    </i>
    <i>
      <x v="1"/>
    </i>
    <i t="grand">
      <x/>
    </i>
  </colItems>
  <dataFields count="1">
    <dataField name="Sum of Total_Revenue" fld="2" baseField="0" baseItem="0"/>
  </dataFields>
  <formats count="6">
    <format dxfId="9">
      <pivotArea outline="0" collapsedLevelsAreSubtotals="1" fieldPosition="0"/>
    </format>
    <format dxfId="8">
      <pivotArea dataOnly="0" labelOnly="1" fieldPosition="0">
        <references count="1">
          <reference field="1" count="0"/>
        </references>
      </pivotArea>
    </format>
    <format dxfId="7">
      <pivotArea dataOnly="0" labelOnly="1" grandRow="1" outline="0" fieldPosition="0"/>
    </format>
    <format dxfId="6">
      <pivotArea outline="0" collapsedLevelsAreSubtotals="1" fieldPosition="0"/>
    </format>
    <format dxfId="5">
      <pivotArea dataOnly="0" labelOnly="1" fieldPosition="0">
        <references count="1">
          <reference field="1" count="0"/>
        </references>
      </pivotArea>
    </format>
    <format dxfId="4">
      <pivotArea dataOnly="0" labelOnly="1" grandRow="1" outline="0" fieldPosition="0"/>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O$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35FCFB-C7EF-49DD-AA9A-5F647DF5C8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 firstHeaderRow="1" firstDataRow="2" firstDataCol="1"/>
  <pivotFields count="2">
    <pivotField axis="axisCol" allDrilled="1" subtotalTop="0" showAll="0" includeNewItemsInFilter="1" dataSourceSort="1" defaultSubtotal="0" defaultAttributeDrillState="1">
      <items count="2">
        <item x="0"/>
        <item x="1"/>
      </items>
    </pivotField>
    <pivotField dataField="1" subtotalTop="0" showAll="0" defaultSubtotal="0"/>
  </pivotFields>
  <rowItems count="1">
    <i/>
  </rowItems>
  <colFields count="1">
    <field x="0"/>
  </colFields>
  <colItems count="3">
    <i>
      <x/>
    </i>
    <i>
      <x v="1"/>
    </i>
    <i t="grand">
      <x/>
    </i>
  </colItems>
  <dataFields count="1">
    <dataField name="Average of Monthly_Fee" fld="1" subtotal="average" baseField="0" baseItem="0"/>
  </dataFields>
  <formats count="2">
    <format dxfId="3">
      <pivotArea outline="0" collapsedLevelsAreSubtotals="1" fieldPosition="0">
        <references count="1">
          <reference field="0" count="0" selected="0"/>
        </references>
      </pivotArea>
    </format>
    <format dxfId="2">
      <pivotArea dataOnly="0" labelOnly="1" fieldPosition="0">
        <references count="1">
          <reference field="0" count="0"/>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Monthly_Fee"/>
    <pivotHierarchy dragToData="1"/>
    <pivotHierarchy dragToData="1"/>
  </pivotHierarchies>
  <pivotTableStyleInfo name="PivotStyleLight16" showRowHeaders="1" showColHeaders="1" showRowStripes="0" showColStripes="0" showLastColumn="1"/>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N$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Impact" xr10:uid="{E2988D71-9F4E-4A7E-8AAC-E6DAEFAB888E}" sourceName="[Range 1].[Referral Impact]">
  <pivotTables>
    <pivotTable tabId="5" name="PivotTable3"/>
  </pivotTables>
  <data>
    <olap pivotCacheId="2139319840">
      <levels count="2">
        <level uniqueName="[Range 1].[Referral Impact].[(All)]" sourceCaption="(All)" count="0"/>
        <level uniqueName="[Range 1].[Referral Impact].[Referral Impact]" sourceCaption="Referral Impact" count="2">
          <ranges>
            <range startItem="0">
              <i n="[Range 1].[Referral Impact].&amp;[No]" c="No"/>
              <i n="[Range 1].[Referral Impact].&amp;[Yes]" c="Yes"/>
            </range>
          </ranges>
        </level>
      </levels>
      <selections count="1">
        <selection n="[Range 1].[Referral Impact].&amp;[No]"/>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5CF5E07-439D-4F64-A81F-A2F6A1BE04C8}" sourceName="[Range 1].[City]">
  <pivotTables>
    <pivotTable tabId="6" name="PivotTable4"/>
  </pivotTables>
  <data>
    <olap pivotCacheId="1591077669">
      <levels count="2">
        <level uniqueName="[Range 1].[City].[(All)]" sourceCaption="(All)" count="0"/>
        <level uniqueName="[Range 1].[City].[City]" sourceCaption="City" count="6">
          <ranges>
            <range startItem="0">
              <i n="[Range 1].[City].&amp;[Bengaluru]" c="Bengaluru"/>
              <i n="[Range 1].[City].&amp;[Delhi]" c="Delhi"/>
              <i n="[Range 1].[City].&amp;[Hyderabad]" c="Hyderabad"/>
              <i n="[Range 1].[City].&amp;[Kolkata]" c="Kolkata"/>
              <i n="[Range 1].[City].&amp;[Mumbai]" c="Mumbai"/>
              <i n="[Range 1].[City].&amp;[Pune]" c="Pune"/>
            </range>
          </ranges>
        </level>
      </levels>
      <selections count="5">
        <selection n="[Range 1].[City].&amp;[Bengaluru]"/>
        <selection n="[Range 1].[City].&amp;[Delhi]"/>
        <selection n="[Range 1].[City].&amp;[Hyderabad]"/>
        <selection n="[Range 1].[City].&amp;[Mumbai]"/>
        <selection n="[Range 1].[City].&amp;[Pun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EDE6633-0B27-40D6-A30A-50E37756F70D}" cache="Slicer_City" caption="Cit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 Impact" xr10:uid="{4E65BBCB-AEB9-4F1F-A391-D1634D00211F}" cache="Slicer_Referral_Impact" caption="Referral Impact" level="1"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abSelected="1" workbookViewId="0">
      <selection activeCell="E14" sqref="E14"/>
    </sheetView>
  </sheetViews>
  <sheetFormatPr defaultColWidth="14.44140625" defaultRowHeight="15" customHeight="1" x14ac:dyDescent="0.3"/>
  <cols>
    <col min="1" max="1" width="11" bestFit="1" customWidth="1"/>
    <col min="2" max="2" width="14.88671875" bestFit="1" customWidth="1"/>
    <col min="3" max="3" width="5.5546875" bestFit="1" customWidth="1"/>
    <col min="4" max="4" width="7.109375" bestFit="1" customWidth="1"/>
    <col min="5" max="5" width="12.6640625" customWidth="1"/>
    <col min="6" max="6" width="16.88671875" bestFit="1" customWidth="1"/>
    <col min="7" max="8" width="10.33203125" bestFit="1" customWidth="1"/>
    <col min="9" max="9" width="12.109375" bestFit="1" customWidth="1"/>
    <col min="10" max="10" width="10.77734375" bestFit="1" customWidth="1"/>
    <col min="11" max="11" width="9.77734375" bestFit="1" customWidth="1"/>
    <col min="12" max="12" width="17.5546875" bestFit="1" customWidth="1"/>
    <col min="13" max="14" width="33.44140625" customWidth="1"/>
    <col min="15" max="15" width="20.21875" customWidth="1"/>
    <col min="16" max="16" width="26.21875" style="10" customWidth="1"/>
    <col min="17" max="17" width="16.88671875" customWidth="1"/>
    <col min="18" max="24" width="8.6640625" customWidth="1"/>
  </cols>
  <sheetData>
    <row r="1" spans="1:16" ht="14.4" x14ac:dyDescent="0.3">
      <c r="A1" s="5" t="s">
        <v>107</v>
      </c>
      <c r="B1" s="5" t="s">
        <v>0</v>
      </c>
      <c r="C1" s="5" t="s">
        <v>1</v>
      </c>
      <c r="D1" s="5" t="s">
        <v>2</v>
      </c>
      <c r="E1" s="13" t="s">
        <v>119</v>
      </c>
      <c r="F1" s="5" t="s">
        <v>3</v>
      </c>
      <c r="G1" s="5" t="s">
        <v>4</v>
      </c>
      <c r="H1" s="5" t="s">
        <v>5</v>
      </c>
      <c r="I1" s="5" t="s">
        <v>6</v>
      </c>
      <c r="J1" s="5" t="s">
        <v>7</v>
      </c>
      <c r="K1" s="5" t="s">
        <v>8</v>
      </c>
      <c r="L1" s="5" t="s">
        <v>9</v>
      </c>
      <c r="M1" s="5" t="s">
        <v>108</v>
      </c>
      <c r="N1" s="5" t="s">
        <v>118</v>
      </c>
      <c r="O1" s="5" t="s">
        <v>109</v>
      </c>
      <c r="P1" s="9" t="s">
        <v>116</v>
      </c>
    </row>
    <row r="2" spans="1:16" ht="14.4" x14ac:dyDescent="0.3">
      <c r="A2" s="1" t="s">
        <v>10</v>
      </c>
      <c r="B2" s="1" t="s">
        <v>11</v>
      </c>
      <c r="C2" s="1">
        <v>59</v>
      </c>
      <c r="D2" s="1" t="s">
        <v>12</v>
      </c>
      <c r="E2" s="1" t="str">
        <f>IF(AND(C2&gt;=18,C2&lt;=30),"Youth",IF(AND(C2&gt;=31,C2&lt;=45),"Adult","Senior"))</f>
        <v>Senior</v>
      </c>
      <c r="F2" s="1" t="s">
        <v>13</v>
      </c>
      <c r="G2" s="2">
        <v>45235</v>
      </c>
      <c r="H2" s="2">
        <v>45425</v>
      </c>
      <c r="I2" s="1">
        <v>800</v>
      </c>
      <c r="J2" s="1">
        <v>25</v>
      </c>
      <c r="K2" s="1" t="s">
        <v>14</v>
      </c>
      <c r="L2" s="1" t="s">
        <v>15</v>
      </c>
      <c r="M2" s="3">
        <f>H2-G2</f>
        <v>190</v>
      </c>
      <c r="N2" s="11">
        <f>M2/30</f>
        <v>6.333333333333333</v>
      </c>
      <c r="O2" s="3" t="str">
        <f>IF(L2&lt;&gt;"","Yes","No")</f>
        <v>Yes</v>
      </c>
      <c r="P2" s="12">
        <f>I2*M2</f>
        <v>152000</v>
      </c>
    </row>
    <row r="3" spans="1:16" ht="14.4" x14ac:dyDescent="0.3">
      <c r="A3" s="1" t="s">
        <v>16</v>
      </c>
      <c r="B3" s="1" t="s">
        <v>17</v>
      </c>
      <c r="C3" s="1">
        <v>27</v>
      </c>
      <c r="D3" s="1" t="s">
        <v>12</v>
      </c>
      <c r="E3" s="1" t="str">
        <f t="shared" ref="E3:E36" si="0">IF(AND(C3&gt;=18,C3&lt;=30),"Youth",IF(AND(C3&gt;=31,C3&lt;=45),"Adult","Senior"))</f>
        <v>Youth</v>
      </c>
      <c r="F3" s="1" t="s">
        <v>13</v>
      </c>
      <c r="G3" s="2">
        <v>45714</v>
      </c>
      <c r="H3" s="2">
        <v>45740</v>
      </c>
      <c r="I3" s="1">
        <v>800</v>
      </c>
      <c r="J3" s="1">
        <v>20</v>
      </c>
      <c r="K3" s="1" t="s">
        <v>18</v>
      </c>
      <c r="L3" s="1" t="s">
        <v>19</v>
      </c>
      <c r="M3" s="3">
        <f t="shared" ref="M3:M36" si="1">H3-G3</f>
        <v>26</v>
      </c>
      <c r="N3" s="11">
        <f t="shared" ref="N3:N36" si="2">M3/30</f>
        <v>0.8666666666666667</v>
      </c>
      <c r="O3" s="3" t="str">
        <f t="shared" ref="O3:O36" si="3">IF(L3&lt;&gt;"","Yes","No")</f>
        <v>Yes</v>
      </c>
      <c r="P3" s="12">
        <f t="shared" ref="P3:P36" si="4">I3*M3</f>
        <v>20800</v>
      </c>
    </row>
    <row r="4" spans="1:16" ht="14.4" x14ac:dyDescent="0.3">
      <c r="A4" s="1" t="s">
        <v>20</v>
      </c>
      <c r="B4" s="1" t="s">
        <v>21</v>
      </c>
      <c r="C4" s="1">
        <v>24</v>
      </c>
      <c r="D4" s="1" t="s">
        <v>12</v>
      </c>
      <c r="E4" s="1" t="str">
        <f t="shared" si="0"/>
        <v>Youth</v>
      </c>
      <c r="F4" s="1" t="s">
        <v>22</v>
      </c>
      <c r="G4" s="2">
        <v>45191</v>
      </c>
      <c r="H4" s="2">
        <v>45371</v>
      </c>
      <c r="I4" s="1">
        <v>1200</v>
      </c>
      <c r="J4" s="1">
        <v>18</v>
      </c>
      <c r="K4" s="1" t="s">
        <v>23</v>
      </c>
      <c r="L4" s="1" t="s">
        <v>24</v>
      </c>
      <c r="M4" s="3">
        <f t="shared" si="1"/>
        <v>180</v>
      </c>
      <c r="N4" s="11">
        <f t="shared" si="2"/>
        <v>6</v>
      </c>
      <c r="O4" s="3" t="str">
        <f t="shared" si="3"/>
        <v>Yes</v>
      </c>
      <c r="P4" s="12">
        <f t="shared" si="4"/>
        <v>216000</v>
      </c>
    </row>
    <row r="5" spans="1:16" ht="14.4" x14ac:dyDescent="0.3">
      <c r="A5" s="1" t="s">
        <v>25</v>
      </c>
      <c r="B5" s="1" t="s">
        <v>26</v>
      </c>
      <c r="C5" s="1">
        <v>31</v>
      </c>
      <c r="D5" s="1" t="s">
        <v>27</v>
      </c>
      <c r="E5" s="1" t="str">
        <f t="shared" si="0"/>
        <v>Adult</v>
      </c>
      <c r="F5" s="1" t="s">
        <v>22</v>
      </c>
      <c r="G5" s="2">
        <v>45479</v>
      </c>
      <c r="H5" s="2">
        <v>45587</v>
      </c>
      <c r="I5" s="1">
        <v>1200</v>
      </c>
      <c r="J5" s="1">
        <v>16</v>
      </c>
      <c r="K5" s="1" t="s">
        <v>23</v>
      </c>
      <c r="L5" s="1" t="s">
        <v>28</v>
      </c>
      <c r="M5" s="3">
        <f t="shared" si="1"/>
        <v>108</v>
      </c>
      <c r="N5" s="11">
        <f t="shared" si="2"/>
        <v>3.6</v>
      </c>
      <c r="O5" s="3" t="str">
        <f t="shared" si="3"/>
        <v>Yes</v>
      </c>
      <c r="P5" s="12">
        <f t="shared" si="4"/>
        <v>129600</v>
      </c>
    </row>
    <row r="6" spans="1:16" ht="14.4" x14ac:dyDescent="0.3">
      <c r="A6" s="1" t="s">
        <v>29</v>
      </c>
      <c r="B6" s="1" t="s">
        <v>30</v>
      </c>
      <c r="C6" s="1">
        <v>19</v>
      </c>
      <c r="D6" s="1" t="s">
        <v>12</v>
      </c>
      <c r="E6" s="1" t="str">
        <f t="shared" si="0"/>
        <v>Youth</v>
      </c>
      <c r="F6" s="1" t="s">
        <v>31</v>
      </c>
      <c r="G6" s="2">
        <v>45286</v>
      </c>
      <c r="H6" s="2">
        <v>45501</v>
      </c>
      <c r="I6" s="1">
        <v>2500</v>
      </c>
      <c r="J6" s="1">
        <v>12</v>
      </c>
      <c r="K6" s="1" t="s">
        <v>14</v>
      </c>
      <c r="L6" s="1" t="s">
        <v>32</v>
      </c>
      <c r="M6" s="3">
        <f t="shared" si="1"/>
        <v>215</v>
      </c>
      <c r="N6" s="11">
        <f t="shared" si="2"/>
        <v>7.166666666666667</v>
      </c>
      <c r="O6" s="3" t="str">
        <f t="shared" si="3"/>
        <v>Yes</v>
      </c>
      <c r="P6" s="12">
        <f t="shared" si="4"/>
        <v>537500</v>
      </c>
    </row>
    <row r="7" spans="1:16" ht="14.4" x14ac:dyDescent="0.3">
      <c r="A7" s="1" t="s">
        <v>33</v>
      </c>
      <c r="B7" s="1" t="s">
        <v>34</v>
      </c>
      <c r="C7" s="1">
        <v>40</v>
      </c>
      <c r="D7" s="1" t="s">
        <v>12</v>
      </c>
      <c r="E7" s="1" t="str">
        <f t="shared" si="0"/>
        <v>Adult</v>
      </c>
      <c r="F7" s="1" t="s">
        <v>13</v>
      </c>
      <c r="G7" s="2">
        <v>45317</v>
      </c>
      <c r="H7" s="2">
        <v>45392</v>
      </c>
      <c r="I7" s="1">
        <v>800</v>
      </c>
      <c r="J7" s="1">
        <v>14</v>
      </c>
      <c r="K7" s="1" t="s">
        <v>35</v>
      </c>
      <c r="L7" s="1" t="s">
        <v>36</v>
      </c>
      <c r="M7" s="3">
        <f t="shared" si="1"/>
        <v>75</v>
      </c>
      <c r="N7" s="11">
        <f t="shared" si="2"/>
        <v>2.5</v>
      </c>
      <c r="O7" s="3" t="str">
        <f t="shared" si="3"/>
        <v>Yes</v>
      </c>
      <c r="P7" s="12">
        <f t="shared" si="4"/>
        <v>60000</v>
      </c>
    </row>
    <row r="8" spans="1:16" ht="14.4" x14ac:dyDescent="0.3">
      <c r="A8" s="1" t="s">
        <v>37</v>
      </c>
      <c r="B8" s="1" t="s">
        <v>38</v>
      </c>
      <c r="C8" s="1">
        <v>41</v>
      </c>
      <c r="D8" s="1" t="s">
        <v>27</v>
      </c>
      <c r="E8" s="1" t="str">
        <f t="shared" si="0"/>
        <v>Adult</v>
      </c>
      <c r="F8" s="1" t="s">
        <v>13</v>
      </c>
      <c r="G8" s="2">
        <v>45588</v>
      </c>
      <c r="H8" s="2">
        <v>45677</v>
      </c>
      <c r="I8" s="1">
        <v>800</v>
      </c>
      <c r="J8" s="1">
        <v>25</v>
      </c>
      <c r="K8" s="1" t="s">
        <v>18</v>
      </c>
      <c r="L8" s="3"/>
      <c r="M8" s="3">
        <f t="shared" si="1"/>
        <v>89</v>
      </c>
      <c r="N8" s="11">
        <f t="shared" si="2"/>
        <v>2.9666666666666668</v>
      </c>
      <c r="O8" s="3" t="str">
        <f t="shared" si="3"/>
        <v>No</v>
      </c>
      <c r="P8" s="12">
        <f t="shared" si="4"/>
        <v>71200</v>
      </c>
    </row>
    <row r="9" spans="1:16" ht="14.4" x14ac:dyDescent="0.3">
      <c r="A9" s="1" t="s">
        <v>39</v>
      </c>
      <c r="B9" s="1" t="s">
        <v>40</v>
      </c>
      <c r="C9" s="1">
        <v>43</v>
      </c>
      <c r="D9" s="1" t="s">
        <v>12</v>
      </c>
      <c r="E9" s="1" t="str">
        <f t="shared" si="0"/>
        <v>Adult</v>
      </c>
      <c r="F9" s="1" t="s">
        <v>41</v>
      </c>
      <c r="G9" s="2">
        <v>45450</v>
      </c>
      <c r="H9" s="2">
        <v>45563</v>
      </c>
      <c r="I9" s="1">
        <v>1800</v>
      </c>
      <c r="J9" s="1">
        <v>28</v>
      </c>
      <c r="K9" s="1" t="s">
        <v>42</v>
      </c>
      <c r="L9" s="3"/>
      <c r="M9" s="3">
        <f t="shared" si="1"/>
        <v>113</v>
      </c>
      <c r="N9" s="11">
        <f t="shared" si="2"/>
        <v>3.7666666666666666</v>
      </c>
      <c r="O9" s="3" t="str">
        <f t="shared" si="3"/>
        <v>No</v>
      </c>
      <c r="P9" s="12">
        <f t="shared" si="4"/>
        <v>203400</v>
      </c>
    </row>
    <row r="10" spans="1:16" ht="14.4" x14ac:dyDescent="0.3">
      <c r="A10" s="1" t="s">
        <v>43</v>
      </c>
      <c r="B10" s="1" t="s">
        <v>44</v>
      </c>
      <c r="C10" s="1">
        <v>42</v>
      </c>
      <c r="D10" s="1" t="s">
        <v>12</v>
      </c>
      <c r="E10" s="1" t="str">
        <f t="shared" si="0"/>
        <v>Adult</v>
      </c>
      <c r="F10" s="1" t="s">
        <v>13</v>
      </c>
      <c r="G10" s="2">
        <v>45569</v>
      </c>
      <c r="H10" s="2">
        <v>45582</v>
      </c>
      <c r="I10" s="1">
        <v>800</v>
      </c>
      <c r="J10" s="1">
        <v>3</v>
      </c>
      <c r="K10" s="1" t="s">
        <v>42</v>
      </c>
      <c r="L10" s="1" t="s">
        <v>45</v>
      </c>
      <c r="M10" s="3">
        <f t="shared" si="1"/>
        <v>13</v>
      </c>
      <c r="N10" s="11">
        <f t="shared" si="2"/>
        <v>0.43333333333333335</v>
      </c>
      <c r="O10" s="3" t="str">
        <f t="shared" si="3"/>
        <v>Yes</v>
      </c>
      <c r="P10" s="12">
        <f t="shared" si="4"/>
        <v>10400</v>
      </c>
    </row>
    <row r="11" spans="1:16" ht="14.4" x14ac:dyDescent="0.3">
      <c r="A11" s="1" t="s">
        <v>46</v>
      </c>
      <c r="B11" s="1" t="s">
        <v>47</v>
      </c>
      <c r="C11" s="1">
        <v>37</v>
      </c>
      <c r="D11" s="1" t="s">
        <v>12</v>
      </c>
      <c r="E11" s="1" t="str">
        <f t="shared" si="0"/>
        <v>Adult</v>
      </c>
      <c r="F11" s="1" t="s">
        <v>22</v>
      </c>
      <c r="G11" s="2">
        <v>45202</v>
      </c>
      <c r="H11" s="2">
        <v>45280</v>
      </c>
      <c r="I11" s="1">
        <v>1200</v>
      </c>
      <c r="J11" s="1">
        <v>29</v>
      </c>
      <c r="K11" s="1" t="s">
        <v>35</v>
      </c>
      <c r="L11" s="1" t="s">
        <v>48</v>
      </c>
      <c r="M11" s="3">
        <f t="shared" si="1"/>
        <v>78</v>
      </c>
      <c r="N11" s="11">
        <f t="shared" si="2"/>
        <v>2.6</v>
      </c>
      <c r="O11" s="3" t="str">
        <f t="shared" si="3"/>
        <v>Yes</v>
      </c>
      <c r="P11" s="12">
        <f t="shared" si="4"/>
        <v>93600</v>
      </c>
    </row>
    <row r="12" spans="1:16" ht="14.4" x14ac:dyDescent="0.3">
      <c r="A12" s="1" t="s">
        <v>49</v>
      </c>
      <c r="B12" s="1" t="s">
        <v>50</v>
      </c>
      <c r="C12" s="1">
        <v>48</v>
      </c>
      <c r="D12" s="1" t="s">
        <v>27</v>
      </c>
      <c r="E12" s="1" t="str">
        <f t="shared" si="0"/>
        <v>Senior</v>
      </c>
      <c r="F12" s="1" t="s">
        <v>22</v>
      </c>
      <c r="G12" s="2">
        <v>45297</v>
      </c>
      <c r="H12" s="2">
        <v>45459</v>
      </c>
      <c r="I12" s="1">
        <v>1200</v>
      </c>
      <c r="J12" s="1">
        <v>13</v>
      </c>
      <c r="K12" s="1" t="s">
        <v>14</v>
      </c>
      <c r="L12" s="1" t="s">
        <v>51</v>
      </c>
      <c r="M12" s="3">
        <f t="shared" si="1"/>
        <v>162</v>
      </c>
      <c r="N12" s="11">
        <f t="shared" si="2"/>
        <v>5.4</v>
      </c>
      <c r="O12" s="3" t="str">
        <f t="shared" si="3"/>
        <v>Yes</v>
      </c>
      <c r="P12" s="12">
        <f t="shared" si="4"/>
        <v>194400</v>
      </c>
    </row>
    <row r="13" spans="1:16" ht="14.4" x14ac:dyDescent="0.3">
      <c r="A13" s="1" t="s">
        <v>52</v>
      </c>
      <c r="B13" s="1" t="s">
        <v>53</v>
      </c>
      <c r="C13" s="1">
        <v>36</v>
      </c>
      <c r="D13" s="1" t="s">
        <v>12</v>
      </c>
      <c r="E13" s="1" t="str">
        <f t="shared" si="0"/>
        <v>Adult</v>
      </c>
      <c r="F13" s="1" t="s">
        <v>22</v>
      </c>
      <c r="G13" s="2">
        <v>45154</v>
      </c>
      <c r="H13" s="2">
        <v>45568</v>
      </c>
      <c r="I13" s="1">
        <v>1200</v>
      </c>
      <c r="J13" s="1">
        <v>19</v>
      </c>
      <c r="K13" s="1" t="s">
        <v>42</v>
      </c>
      <c r="L13" s="1" t="s">
        <v>54</v>
      </c>
      <c r="M13" s="3">
        <f t="shared" si="1"/>
        <v>414</v>
      </c>
      <c r="N13" s="11">
        <f t="shared" si="2"/>
        <v>13.8</v>
      </c>
      <c r="O13" s="3" t="str">
        <f t="shared" si="3"/>
        <v>Yes</v>
      </c>
      <c r="P13" s="12">
        <f t="shared" si="4"/>
        <v>496800</v>
      </c>
    </row>
    <row r="14" spans="1:16" ht="14.4" x14ac:dyDescent="0.3">
      <c r="A14" s="1" t="s">
        <v>55</v>
      </c>
      <c r="B14" s="1" t="s">
        <v>56</v>
      </c>
      <c r="C14" s="1">
        <v>48</v>
      </c>
      <c r="D14" s="1" t="s">
        <v>27</v>
      </c>
      <c r="E14" s="1" t="str">
        <f t="shared" si="0"/>
        <v>Senior</v>
      </c>
      <c r="F14" s="1" t="s">
        <v>41</v>
      </c>
      <c r="G14" s="2">
        <v>45556</v>
      </c>
      <c r="H14" s="2">
        <v>45641</v>
      </c>
      <c r="I14" s="1">
        <v>1800</v>
      </c>
      <c r="J14" s="1">
        <v>22</v>
      </c>
      <c r="K14" s="1" t="s">
        <v>42</v>
      </c>
      <c r="L14" s="3"/>
      <c r="M14" s="3">
        <f t="shared" si="1"/>
        <v>85</v>
      </c>
      <c r="N14" s="11">
        <f t="shared" si="2"/>
        <v>2.8333333333333335</v>
      </c>
      <c r="O14" s="3" t="str">
        <f t="shared" si="3"/>
        <v>No</v>
      </c>
      <c r="P14" s="12">
        <f t="shared" si="4"/>
        <v>153000</v>
      </c>
    </row>
    <row r="15" spans="1:16" ht="14.4" x14ac:dyDescent="0.3">
      <c r="A15" s="1" t="s">
        <v>57</v>
      </c>
      <c r="B15" s="1" t="s">
        <v>58</v>
      </c>
      <c r="C15" s="1">
        <v>39</v>
      </c>
      <c r="D15" s="1" t="s">
        <v>12</v>
      </c>
      <c r="E15" s="1" t="str">
        <f t="shared" si="0"/>
        <v>Adult</v>
      </c>
      <c r="F15" s="1" t="s">
        <v>22</v>
      </c>
      <c r="G15" s="2">
        <v>45065</v>
      </c>
      <c r="H15" s="2">
        <v>45242</v>
      </c>
      <c r="I15" s="1">
        <v>1200</v>
      </c>
      <c r="J15" s="1">
        <v>28</v>
      </c>
      <c r="K15" s="1" t="s">
        <v>35</v>
      </c>
      <c r="L15" s="3"/>
      <c r="M15" s="3">
        <f t="shared" si="1"/>
        <v>177</v>
      </c>
      <c r="N15" s="11">
        <f t="shared" si="2"/>
        <v>5.9</v>
      </c>
      <c r="O15" s="3" t="str">
        <f t="shared" si="3"/>
        <v>No</v>
      </c>
      <c r="P15" s="12">
        <f t="shared" si="4"/>
        <v>212400</v>
      </c>
    </row>
    <row r="16" spans="1:16" ht="14.4" x14ac:dyDescent="0.3">
      <c r="A16" s="1" t="s">
        <v>59</v>
      </c>
      <c r="B16" s="1" t="s">
        <v>60</v>
      </c>
      <c r="C16" s="1">
        <v>44</v>
      </c>
      <c r="D16" s="1" t="s">
        <v>27</v>
      </c>
      <c r="E16" s="1" t="str">
        <f t="shared" si="0"/>
        <v>Adult</v>
      </c>
      <c r="F16" s="1" t="s">
        <v>13</v>
      </c>
      <c r="G16" s="2">
        <v>45333</v>
      </c>
      <c r="H16" s="2">
        <v>45540</v>
      </c>
      <c r="I16" s="1">
        <v>800</v>
      </c>
      <c r="J16" s="1">
        <v>8</v>
      </c>
      <c r="K16" s="1" t="s">
        <v>23</v>
      </c>
      <c r="L16" s="3"/>
      <c r="M16" s="3">
        <f t="shared" si="1"/>
        <v>207</v>
      </c>
      <c r="N16" s="11">
        <f t="shared" si="2"/>
        <v>6.9</v>
      </c>
      <c r="O16" s="3" t="str">
        <f t="shared" si="3"/>
        <v>No</v>
      </c>
      <c r="P16" s="12">
        <f t="shared" si="4"/>
        <v>165600</v>
      </c>
    </row>
    <row r="17" spans="1:16" ht="14.4" x14ac:dyDescent="0.3">
      <c r="A17" s="1" t="s">
        <v>61</v>
      </c>
      <c r="B17" s="1" t="s">
        <v>62</v>
      </c>
      <c r="C17" s="1">
        <v>39</v>
      </c>
      <c r="D17" s="1" t="s">
        <v>12</v>
      </c>
      <c r="E17" s="1" t="str">
        <f t="shared" si="0"/>
        <v>Adult</v>
      </c>
      <c r="F17" s="1" t="s">
        <v>31</v>
      </c>
      <c r="G17" s="2">
        <v>45702</v>
      </c>
      <c r="H17" s="2">
        <v>45732</v>
      </c>
      <c r="I17" s="1">
        <v>2500</v>
      </c>
      <c r="J17" s="1">
        <v>14</v>
      </c>
      <c r="K17" s="1" t="s">
        <v>42</v>
      </c>
      <c r="L17" s="3"/>
      <c r="M17" s="3">
        <f t="shared" si="1"/>
        <v>30</v>
      </c>
      <c r="N17" s="11">
        <f t="shared" si="2"/>
        <v>1</v>
      </c>
      <c r="O17" s="3" t="str">
        <f t="shared" si="3"/>
        <v>No</v>
      </c>
      <c r="P17" s="12">
        <f t="shared" si="4"/>
        <v>75000</v>
      </c>
    </row>
    <row r="18" spans="1:16" ht="14.4" x14ac:dyDescent="0.3">
      <c r="A18" s="1" t="s">
        <v>63</v>
      </c>
      <c r="B18" s="1" t="s">
        <v>64</v>
      </c>
      <c r="C18" s="1">
        <v>35</v>
      </c>
      <c r="D18" s="1" t="s">
        <v>12</v>
      </c>
      <c r="E18" s="1" t="str">
        <f t="shared" si="0"/>
        <v>Adult</v>
      </c>
      <c r="F18" s="1" t="s">
        <v>22</v>
      </c>
      <c r="G18" s="2">
        <v>45329</v>
      </c>
      <c r="H18" s="2">
        <v>45685</v>
      </c>
      <c r="I18" s="1">
        <v>1200</v>
      </c>
      <c r="J18" s="1">
        <v>25</v>
      </c>
      <c r="K18" s="1" t="s">
        <v>23</v>
      </c>
      <c r="L18" s="3"/>
      <c r="M18" s="3">
        <f t="shared" si="1"/>
        <v>356</v>
      </c>
      <c r="N18" s="11">
        <f t="shared" si="2"/>
        <v>11.866666666666667</v>
      </c>
      <c r="O18" s="3" t="str">
        <f t="shared" si="3"/>
        <v>No</v>
      </c>
      <c r="P18" s="12">
        <f t="shared" si="4"/>
        <v>427200</v>
      </c>
    </row>
    <row r="19" spans="1:16" ht="14.4" x14ac:dyDescent="0.3">
      <c r="A19" s="1" t="s">
        <v>65</v>
      </c>
      <c r="B19" s="1" t="s">
        <v>66</v>
      </c>
      <c r="C19" s="1">
        <v>56</v>
      </c>
      <c r="D19" s="1" t="s">
        <v>27</v>
      </c>
      <c r="E19" s="1" t="str">
        <f t="shared" si="0"/>
        <v>Senior</v>
      </c>
      <c r="F19" s="1" t="s">
        <v>31</v>
      </c>
      <c r="G19" s="2">
        <v>45213</v>
      </c>
      <c r="H19" s="2">
        <v>45649</v>
      </c>
      <c r="I19" s="1">
        <v>2500</v>
      </c>
      <c r="J19" s="1">
        <v>13</v>
      </c>
      <c r="K19" s="1" t="s">
        <v>67</v>
      </c>
      <c r="L19" s="3"/>
      <c r="M19" s="3">
        <f t="shared" si="1"/>
        <v>436</v>
      </c>
      <c r="N19" s="11">
        <f t="shared" si="2"/>
        <v>14.533333333333333</v>
      </c>
      <c r="O19" s="3" t="str">
        <f t="shared" si="3"/>
        <v>No</v>
      </c>
      <c r="P19" s="12">
        <f t="shared" si="4"/>
        <v>1090000</v>
      </c>
    </row>
    <row r="20" spans="1:16" ht="14.4" x14ac:dyDescent="0.3">
      <c r="A20" s="1" t="s">
        <v>68</v>
      </c>
      <c r="B20" s="1" t="s">
        <v>69</v>
      </c>
      <c r="C20" s="1">
        <v>27</v>
      </c>
      <c r="D20" s="1" t="s">
        <v>27</v>
      </c>
      <c r="E20" s="1" t="str">
        <f t="shared" si="0"/>
        <v>Youth</v>
      </c>
      <c r="F20" s="1" t="s">
        <v>13</v>
      </c>
      <c r="G20" s="2">
        <v>45354</v>
      </c>
      <c r="H20" s="2">
        <v>45664</v>
      </c>
      <c r="I20" s="1">
        <v>800</v>
      </c>
      <c r="J20" s="1">
        <v>26</v>
      </c>
      <c r="K20" s="1" t="s">
        <v>35</v>
      </c>
      <c r="L20" s="3"/>
      <c r="M20" s="3">
        <f t="shared" si="1"/>
        <v>310</v>
      </c>
      <c r="N20" s="11">
        <f t="shared" si="2"/>
        <v>10.333333333333334</v>
      </c>
      <c r="O20" s="3" t="str">
        <f t="shared" si="3"/>
        <v>No</v>
      </c>
      <c r="P20" s="12">
        <f t="shared" si="4"/>
        <v>248000</v>
      </c>
    </row>
    <row r="21" spans="1:16" ht="15.75" customHeight="1" x14ac:dyDescent="0.3">
      <c r="A21" s="1" t="s">
        <v>70</v>
      </c>
      <c r="B21" s="1" t="s">
        <v>71</v>
      </c>
      <c r="C21" s="1">
        <v>28</v>
      </c>
      <c r="D21" s="1" t="s">
        <v>12</v>
      </c>
      <c r="E21" s="1" t="str">
        <f t="shared" si="0"/>
        <v>Youth</v>
      </c>
      <c r="F21" s="1" t="s">
        <v>31</v>
      </c>
      <c r="G21" s="2">
        <v>45417</v>
      </c>
      <c r="H21" s="2">
        <v>45608</v>
      </c>
      <c r="I21" s="1">
        <v>2500</v>
      </c>
      <c r="J21" s="1">
        <v>21</v>
      </c>
      <c r="K21" s="1" t="s">
        <v>35</v>
      </c>
      <c r="L21" s="1" t="s">
        <v>72</v>
      </c>
      <c r="M21" s="3">
        <f t="shared" si="1"/>
        <v>191</v>
      </c>
      <c r="N21" s="11">
        <f t="shared" si="2"/>
        <v>6.3666666666666663</v>
      </c>
      <c r="O21" s="3" t="str">
        <f t="shared" si="3"/>
        <v>Yes</v>
      </c>
      <c r="P21" s="12">
        <f t="shared" si="4"/>
        <v>477500</v>
      </c>
    </row>
    <row r="22" spans="1:16" ht="15.75" customHeight="1" x14ac:dyDescent="0.3">
      <c r="A22" s="1" t="s">
        <v>73</v>
      </c>
      <c r="B22" s="1" t="s">
        <v>74</v>
      </c>
      <c r="C22" s="1">
        <v>57</v>
      </c>
      <c r="D22" s="1" t="s">
        <v>27</v>
      </c>
      <c r="E22" s="1" t="str">
        <f t="shared" si="0"/>
        <v>Senior</v>
      </c>
      <c r="F22" s="1" t="s">
        <v>41</v>
      </c>
      <c r="G22" s="2">
        <v>45146</v>
      </c>
      <c r="H22" s="2">
        <v>45674</v>
      </c>
      <c r="I22" s="1">
        <v>1800</v>
      </c>
      <c r="J22" s="1">
        <v>19</v>
      </c>
      <c r="K22" s="1" t="s">
        <v>35</v>
      </c>
      <c r="L22" s="3"/>
      <c r="M22" s="3">
        <f t="shared" si="1"/>
        <v>528</v>
      </c>
      <c r="N22" s="11">
        <f t="shared" si="2"/>
        <v>17.600000000000001</v>
      </c>
      <c r="O22" s="3" t="str">
        <f t="shared" si="3"/>
        <v>No</v>
      </c>
      <c r="P22" s="12">
        <f t="shared" si="4"/>
        <v>950400</v>
      </c>
    </row>
    <row r="23" spans="1:16" ht="15.75" customHeight="1" x14ac:dyDescent="0.3">
      <c r="A23" s="1" t="s">
        <v>75</v>
      </c>
      <c r="B23" s="1" t="s">
        <v>76</v>
      </c>
      <c r="C23" s="1">
        <v>26</v>
      </c>
      <c r="D23" s="1" t="s">
        <v>27</v>
      </c>
      <c r="E23" s="1" t="str">
        <f t="shared" si="0"/>
        <v>Youth</v>
      </c>
      <c r="F23" s="1" t="s">
        <v>41</v>
      </c>
      <c r="G23" s="2">
        <v>45320</v>
      </c>
      <c r="H23" s="2">
        <v>45616</v>
      </c>
      <c r="I23" s="1">
        <v>1800</v>
      </c>
      <c r="J23" s="1">
        <v>5</v>
      </c>
      <c r="K23" s="1" t="s">
        <v>14</v>
      </c>
      <c r="L23" s="3"/>
      <c r="M23" s="3">
        <f t="shared" si="1"/>
        <v>296</v>
      </c>
      <c r="N23" s="11">
        <f t="shared" si="2"/>
        <v>9.8666666666666671</v>
      </c>
      <c r="O23" s="3" t="str">
        <f t="shared" si="3"/>
        <v>No</v>
      </c>
      <c r="P23" s="12">
        <f t="shared" si="4"/>
        <v>532800</v>
      </c>
    </row>
    <row r="24" spans="1:16" ht="15.75" customHeight="1" x14ac:dyDescent="0.3">
      <c r="A24" s="1" t="s">
        <v>77</v>
      </c>
      <c r="B24" s="1" t="s">
        <v>78</v>
      </c>
      <c r="C24" s="1">
        <v>48</v>
      </c>
      <c r="D24" s="1" t="s">
        <v>12</v>
      </c>
      <c r="E24" s="1" t="str">
        <f t="shared" si="0"/>
        <v>Senior</v>
      </c>
      <c r="F24" s="1" t="s">
        <v>41</v>
      </c>
      <c r="G24" s="2">
        <v>45451</v>
      </c>
      <c r="H24" s="2">
        <v>45455</v>
      </c>
      <c r="I24" s="1">
        <v>1800</v>
      </c>
      <c r="J24" s="1">
        <v>18</v>
      </c>
      <c r="K24" s="1" t="s">
        <v>67</v>
      </c>
      <c r="L24" s="3"/>
      <c r="M24" s="3">
        <f t="shared" si="1"/>
        <v>4</v>
      </c>
      <c r="N24" s="11">
        <f t="shared" si="2"/>
        <v>0.13333333333333333</v>
      </c>
      <c r="O24" s="3" t="str">
        <f t="shared" si="3"/>
        <v>No</v>
      </c>
      <c r="P24" s="12">
        <f t="shared" si="4"/>
        <v>7200</v>
      </c>
    </row>
    <row r="25" spans="1:16" ht="15.75" customHeight="1" x14ac:dyDescent="0.3">
      <c r="A25" s="1" t="s">
        <v>79</v>
      </c>
      <c r="B25" s="1" t="s">
        <v>80</v>
      </c>
      <c r="C25" s="1">
        <v>25</v>
      </c>
      <c r="D25" s="1" t="s">
        <v>27</v>
      </c>
      <c r="E25" s="1" t="str">
        <f t="shared" si="0"/>
        <v>Youth</v>
      </c>
      <c r="F25" s="1" t="s">
        <v>22</v>
      </c>
      <c r="G25" s="2">
        <v>45439</v>
      </c>
      <c r="H25" s="2">
        <v>45730</v>
      </c>
      <c r="I25" s="1">
        <v>1200</v>
      </c>
      <c r="J25" s="1">
        <v>6</v>
      </c>
      <c r="K25" s="1" t="s">
        <v>14</v>
      </c>
      <c r="L25" s="3"/>
      <c r="M25" s="3">
        <f t="shared" si="1"/>
        <v>291</v>
      </c>
      <c r="N25" s="11">
        <f t="shared" si="2"/>
        <v>9.6999999999999993</v>
      </c>
      <c r="O25" s="3" t="str">
        <f t="shared" si="3"/>
        <v>No</v>
      </c>
      <c r="P25" s="12">
        <f t="shared" si="4"/>
        <v>349200</v>
      </c>
    </row>
    <row r="26" spans="1:16" ht="15.75" customHeight="1" x14ac:dyDescent="0.3">
      <c r="A26" s="1" t="s">
        <v>81</v>
      </c>
      <c r="B26" s="1" t="s">
        <v>82</v>
      </c>
      <c r="C26" s="1">
        <v>53</v>
      </c>
      <c r="D26" s="1" t="s">
        <v>12</v>
      </c>
      <c r="E26" s="1" t="str">
        <f t="shared" si="0"/>
        <v>Senior</v>
      </c>
      <c r="F26" s="1" t="s">
        <v>41</v>
      </c>
      <c r="G26" s="2">
        <v>45286</v>
      </c>
      <c r="H26" s="2">
        <v>45372</v>
      </c>
      <c r="I26" s="1">
        <v>1800</v>
      </c>
      <c r="J26" s="1">
        <v>17</v>
      </c>
      <c r="K26" s="1" t="s">
        <v>35</v>
      </c>
      <c r="L26" s="1" t="s">
        <v>83</v>
      </c>
      <c r="M26" s="3">
        <f t="shared" si="1"/>
        <v>86</v>
      </c>
      <c r="N26" s="11">
        <f t="shared" si="2"/>
        <v>2.8666666666666667</v>
      </c>
      <c r="O26" s="3" t="str">
        <f t="shared" si="3"/>
        <v>Yes</v>
      </c>
      <c r="P26" s="12">
        <f t="shared" si="4"/>
        <v>154800</v>
      </c>
    </row>
    <row r="27" spans="1:16" ht="15.75" customHeight="1" x14ac:dyDescent="0.3">
      <c r="A27" s="1" t="s">
        <v>84</v>
      </c>
      <c r="B27" s="1" t="s">
        <v>85</v>
      </c>
      <c r="C27" s="1">
        <v>42</v>
      </c>
      <c r="D27" s="1" t="s">
        <v>27</v>
      </c>
      <c r="E27" s="1" t="str">
        <f t="shared" si="0"/>
        <v>Adult</v>
      </c>
      <c r="F27" s="1" t="s">
        <v>22</v>
      </c>
      <c r="G27" s="2">
        <v>45702</v>
      </c>
      <c r="H27" s="2">
        <v>45727</v>
      </c>
      <c r="I27" s="1">
        <v>1200</v>
      </c>
      <c r="J27" s="1">
        <v>3</v>
      </c>
      <c r="K27" s="1" t="s">
        <v>67</v>
      </c>
      <c r="L27" s="3"/>
      <c r="M27" s="3">
        <f t="shared" si="1"/>
        <v>25</v>
      </c>
      <c r="N27" s="11">
        <f t="shared" si="2"/>
        <v>0.83333333333333337</v>
      </c>
      <c r="O27" s="3" t="str">
        <f t="shared" si="3"/>
        <v>No</v>
      </c>
      <c r="P27" s="12">
        <f t="shared" si="4"/>
        <v>30000</v>
      </c>
    </row>
    <row r="28" spans="1:16" ht="15.75" customHeight="1" x14ac:dyDescent="0.3">
      <c r="A28" s="1" t="s">
        <v>86</v>
      </c>
      <c r="B28" s="1" t="s">
        <v>87</v>
      </c>
      <c r="C28" s="1">
        <v>24</v>
      </c>
      <c r="D28" s="1" t="s">
        <v>12</v>
      </c>
      <c r="E28" s="1" t="str">
        <f t="shared" si="0"/>
        <v>Youth</v>
      </c>
      <c r="F28" s="1" t="s">
        <v>31</v>
      </c>
      <c r="G28" s="2">
        <v>45698</v>
      </c>
      <c r="H28" s="2">
        <v>45726</v>
      </c>
      <c r="I28" s="1">
        <v>2500</v>
      </c>
      <c r="J28" s="1">
        <v>28</v>
      </c>
      <c r="K28" s="1" t="s">
        <v>35</v>
      </c>
      <c r="L28" s="3"/>
      <c r="M28" s="3">
        <f t="shared" si="1"/>
        <v>28</v>
      </c>
      <c r="N28" s="11">
        <f t="shared" si="2"/>
        <v>0.93333333333333335</v>
      </c>
      <c r="O28" s="3" t="str">
        <f t="shared" si="3"/>
        <v>No</v>
      </c>
      <c r="P28" s="12">
        <f t="shared" si="4"/>
        <v>70000</v>
      </c>
    </row>
    <row r="29" spans="1:16" ht="15.75" customHeight="1" x14ac:dyDescent="0.3">
      <c r="A29" s="1" t="s">
        <v>88</v>
      </c>
      <c r="B29" s="1" t="s">
        <v>89</v>
      </c>
      <c r="C29" s="1">
        <v>53</v>
      </c>
      <c r="D29" s="1" t="s">
        <v>12</v>
      </c>
      <c r="E29" s="1" t="str">
        <f t="shared" si="0"/>
        <v>Senior</v>
      </c>
      <c r="F29" s="1" t="s">
        <v>22</v>
      </c>
      <c r="G29" s="2">
        <v>45614</v>
      </c>
      <c r="H29" s="2">
        <v>45645</v>
      </c>
      <c r="I29" s="1">
        <v>1200</v>
      </c>
      <c r="J29" s="1">
        <v>23</v>
      </c>
      <c r="K29" s="1" t="s">
        <v>18</v>
      </c>
      <c r="L29" s="3"/>
      <c r="M29" s="3">
        <f t="shared" si="1"/>
        <v>31</v>
      </c>
      <c r="N29" s="11">
        <f t="shared" si="2"/>
        <v>1.0333333333333334</v>
      </c>
      <c r="O29" s="3" t="str">
        <f t="shared" si="3"/>
        <v>No</v>
      </c>
      <c r="P29" s="12">
        <f t="shared" si="4"/>
        <v>37200</v>
      </c>
    </row>
    <row r="30" spans="1:16" ht="15.75" customHeight="1" x14ac:dyDescent="0.3">
      <c r="A30" s="1" t="s">
        <v>90</v>
      </c>
      <c r="B30" s="1" t="s">
        <v>91</v>
      </c>
      <c r="C30" s="1">
        <v>29</v>
      </c>
      <c r="D30" s="1" t="s">
        <v>27</v>
      </c>
      <c r="E30" s="1" t="str">
        <f t="shared" si="0"/>
        <v>Youth</v>
      </c>
      <c r="F30" s="1" t="s">
        <v>31</v>
      </c>
      <c r="G30" s="2">
        <v>45401</v>
      </c>
      <c r="H30" s="2">
        <v>45408</v>
      </c>
      <c r="I30" s="1">
        <v>2500</v>
      </c>
      <c r="J30" s="1">
        <v>8</v>
      </c>
      <c r="K30" s="1" t="s">
        <v>23</v>
      </c>
      <c r="L30" s="3"/>
      <c r="M30" s="3">
        <f t="shared" si="1"/>
        <v>7</v>
      </c>
      <c r="N30" s="11">
        <f t="shared" si="2"/>
        <v>0.23333333333333334</v>
      </c>
      <c r="O30" s="3" t="str">
        <f t="shared" si="3"/>
        <v>No</v>
      </c>
      <c r="P30" s="12">
        <f t="shared" si="4"/>
        <v>17500</v>
      </c>
    </row>
    <row r="31" spans="1:16" ht="15.75" customHeight="1" x14ac:dyDescent="0.3">
      <c r="A31" s="1" t="s">
        <v>92</v>
      </c>
      <c r="B31" s="1" t="s">
        <v>93</v>
      </c>
      <c r="C31" s="1">
        <v>31</v>
      </c>
      <c r="D31" s="1" t="s">
        <v>27</v>
      </c>
      <c r="E31" s="1" t="str">
        <f t="shared" si="0"/>
        <v>Adult</v>
      </c>
      <c r="F31" s="1" t="s">
        <v>31</v>
      </c>
      <c r="G31" s="2">
        <v>45667</v>
      </c>
      <c r="H31" s="2">
        <v>45745</v>
      </c>
      <c r="I31" s="1">
        <v>2500</v>
      </c>
      <c r="J31" s="1">
        <v>23</v>
      </c>
      <c r="K31" s="1" t="s">
        <v>42</v>
      </c>
      <c r="L31" s="1" t="s">
        <v>94</v>
      </c>
      <c r="M31" s="3">
        <f t="shared" si="1"/>
        <v>78</v>
      </c>
      <c r="N31" s="11">
        <f t="shared" si="2"/>
        <v>2.6</v>
      </c>
      <c r="O31" s="3" t="str">
        <f t="shared" si="3"/>
        <v>Yes</v>
      </c>
      <c r="P31" s="12">
        <f t="shared" si="4"/>
        <v>195000</v>
      </c>
    </row>
    <row r="32" spans="1:16" ht="15.75" customHeight="1" x14ac:dyDescent="0.3">
      <c r="A32" s="1" t="s">
        <v>95</v>
      </c>
      <c r="B32" s="1" t="s">
        <v>96</v>
      </c>
      <c r="C32" s="1">
        <v>52</v>
      </c>
      <c r="D32" s="1" t="s">
        <v>27</v>
      </c>
      <c r="E32" s="1" t="str">
        <f t="shared" si="0"/>
        <v>Senior</v>
      </c>
      <c r="F32" s="1" t="s">
        <v>13</v>
      </c>
      <c r="G32" s="2">
        <v>45088</v>
      </c>
      <c r="H32" s="2">
        <v>45656</v>
      </c>
      <c r="I32" s="1">
        <v>800</v>
      </c>
      <c r="J32" s="1">
        <v>9</v>
      </c>
      <c r="K32" s="1" t="s">
        <v>67</v>
      </c>
      <c r="L32" s="1" t="s">
        <v>97</v>
      </c>
      <c r="M32" s="3">
        <f t="shared" si="1"/>
        <v>568</v>
      </c>
      <c r="N32" s="11">
        <f t="shared" si="2"/>
        <v>18.933333333333334</v>
      </c>
      <c r="O32" s="3" t="str">
        <f t="shared" si="3"/>
        <v>Yes</v>
      </c>
      <c r="P32" s="12">
        <f t="shared" si="4"/>
        <v>454400</v>
      </c>
    </row>
    <row r="33" spans="1:16" ht="15.75" customHeight="1" x14ac:dyDescent="0.3">
      <c r="A33" s="1" t="s">
        <v>98</v>
      </c>
      <c r="B33" s="1" t="s">
        <v>99</v>
      </c>
      <c r="C33" s="1">
        <v>20</v>
      </c>
      <c r="D33" s="1" t="s">
        <v>12</v>
      </c>
      <c r="E33" s="1" t="str">
        <f t="shared" si="0"/>
        <v>Youth</v>
      </c>
      <c r="F33" s="1" t="s">
        <v>22</v>
      </c>
      <c r="G33" s="2">
        <v>45391</v>
      </c>
      <c r="H33" s="2">
        <v>45604</v>
      </c>
      <c r="I33" s="1">
        <v>1200</v>
      </c>
      <c r="J33" s="1">
        <v>2</v>
      </c>
      <c r="K33" s="1" t="s">
        <v>35</v>
      </c>
      <c r="L33" s="3"/>
      <c r="M33" s="3">
        <f t="shared" si="1"/>
        <v>213</v>
      </c>
      <c r="N33" s="11">
        <f t="shared" si="2"/>
        <v>7.1</v>
      </c>
      <c r="O33" s="3" t="str">
        <f t="shared" si="3"/>
        <v>No</v>
      </c>
      <c r="P33" s="12">
        <f t="shared" si="4"/>
        <v>255600</v>
      </c>
    </row>
    <row r="34" spans="1:16" ht="15.75" customHeight="1" x14ac:dyDescent="0.3">
      <c r="A34" s="1" t="s">
        <v>100</v>
      </c>
      <c r="B34" s="1" t="s">
        <v>101</v>
      </c>
      <c r="C34" s="1">
        <v>22</v>
      </c>
      <c r="D34" s="1" t="s">
        <v>12</v>
      </c>
      <c r="E34" s="1" t="str">
        <f t="shared" si="0"/>
        <v>Youth</v>
      </c>
      <c r="F34" s="1" t="s">
        <v>13</v>
      </c>
      <c r="G34" s="2">
        <v>45699</v>
      </c>
      <c r="H34" s="2">
        <v>45740</v>
      </c>
      <c r="I34" s="1">
        <v>800</v>
      </c>
      <c r="J34" s="1">
        <v>30</v>
      </c>
      <c r="K34" s="1" t="s">
        <v>35</v>
      </c>
      <c r="L34" s="3"/>
      <c r="M34" s="3">
        <f t="shared" si="1"/>
        <v>41</v>
      </c>
      <c r="N34" s="11">
        <f t="shared" si="2"/>
        <v>1.3666666666666667</v>
      </c>
      <c r="O34" s="3" t="str">
        <f t="shared" si="3"/>
        <v>No</v>
      </c>
      <c r="P34" s="12">
        <f t="shared" si="4"/>
        <v>32800</v>
      </c>
    </row>
    <row r="35" spans="1:16" ht="15.75" customHeight="1" x14ac:dyDescent="0.3">
      <c r="A35" s="1" t="s">
        <v>102</v>
      </c>
      <c r="B35" s="1" t="s">
        <v>103</v>
      </c>
      <c r="C35" s="1">
        <v>23</v>
      </c>
      <c r="D35" s="1" t="s">
        <v>12</v>
      </c>
      <c r="E35" s="1" t="str">
        <f t="shared" si="0"/>
        <v>Youth</v>
      </c>
      <c r="F35" s="1" t="s">
        <v>41</v>
      </c>
      <c r="G35" s="2">
        <v>45588</v>
      </c>
      <c r="H35" s="2">
        <v>45721</v>
      </c>
      <c r="I35" s="1">
        <v>1800</v>
      </c>
      <c r="J35" s="1">
        <v>23</v>
      </c>
      <c r="K35" s="1" t="s">
        <v>18</v>
      </c>
      <c r="L35" s="1" t="s">
        <v>104</v>
      </c>
      <c r="M35" s="3">
        <f t="shared" si="1"/>
        <v>133</v>
      </c>
      <c r="N35" s="11">
        <f t="shared" si="2"/>
        <v>4.4333333333333336</v>
      </c>
      <c r="O35" s="3" t="str">
        <f t="shared" si="3"/>
        <v>Yes</v>
      </c>
      <c r="P35" s="12">
        <f t="shared" si="4"/>
        <v>239400</v>
      </c>
    </row>
    <row r="36" spans="1:16" ht="15.75" customHeight="1" x14ac:dyDescent="0.3">
      <c r="A36" s="1" t="s">
        <v>105</v>
      </c>
      <c r="B36" s="1" t="s">
        <v>106</v>
      </c>
      <c r="C36" s="1">
        <v>27</v>
      </c>
      <c r="D36" s="1" t="s">
        <v>27</v>
      </c>
      <c r="E36" s="1" t="str">
        <f t="shared" si="0"/>
        <v>Youth</v>
      </c>
      <c r="F36" s="1" t="s">
        <v>22</v>
      </c>
      <c r="G36" s="2">
        <v>45312</v>
      </c>
      <c r="H36" s="2">
        <v>45652</v>
      </c>
      <c r="I36" s="1">
        <v>1200</v>
      </c>
      <c r="J36" s="1">
        <v>27</v>
      </c>
      <c r="K36" s="1" t="s">
        <v>18</v>
      </c>
      <c r="L36" s="3"/>
      <c r="M36" s="3">
        <f t="shared" si="1"/>
        <v>340</v>
      </c>
      <c r="N36" s="11">
        <f t="shared" si="2"/>
        <v>11.333333333333334</v>
      </c>
      <c r="O36" s="3" t="str">
        <f t="shared" si="3"/>
        <v>No</v>
      </c>
      <c r="P36" s="12">
        <f t="shared" si="4"/>
        <v>408000</v>
      </c>
    </row>
    <row r="37" spans="1:16" ht="15.75" customHeight="1" x14ac:dyDescent="0.3">
      <c r="M37" s="8"/>
      <c r="N37" s="8"/>
    </row>
    <row r="38" spans="1:16" ht="15.75" customHeight="1" x14ac:dyDescent="0.3"/>
    <row r="39" spans="1:16" ht="15.75" customHeight="1" x14ac:dyDescent="0.3"/>
    <row r="40" spans="1:16" ht="15.75" customHeight="1" x14ac:dyDescent="0.3">
      <c r="A40" s="16" t="s">
        <v>125</v>
      </c>
      <c r="B40" s="15" t="s">
        <v>124</v>
      </c>
    </row>
    <row r="41" spans="1:16" ht="15.75" customHeight="1" x14ac:dyDescent="0.3">
      <c r="B41" t="s">
        <v>126</v>
      </c>
    </row>
    <row r="42" spans="1:16" ht="15.75" customHeight="1" x14ac:dyDescent="0.3"/>
    <row r="43" spans="1:16" ht="15.75" customHeight="1" x14ac:dyDescent="0.3"/>
    <row r="44" spans="1:16" ht="15.75" customHeight="1" x14ac:dyDescent="0.3"/>
    <row r="45" spans="1:16" ht="15.75" customHeight="1" x14ac:dyDescent="0.3"/>
    <row r="46" spans="1:16" ht="15.75" customHeight="1" x14ac:dyDescent="0.3"/>
    <row r="47" spans="1:16" ht="15.75" customHeight="1" x14ac:dyDescent="0.3"/>
    <row r="48" spans="1:16"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J1:J1048576">
    <cfRule type="cellIs" dxfId="1" priority="2" operator="lessThan">
      <formula>8</formula>
    </cfRule>
  </conditionalFormatting>
  <conditionalFormatting sqref="N1:N1048576">
    <cfRule type="cellIs" dxfId="0" priority="1" operator="greaterThan">
      <formula>6</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DF7E-2743-4115-8737-D32EF21D8452}">
  <dimension ref="A3:E7"/>
  <sheetViews>
    <sheetView workbookViewId="0">
      <selection activeCell="B23" sqref="B23"/>
    </sheetView>
  </sheetViews>
  <sheetFormatPr defaultRowHeight="14.4" x14ac:dyDescent="0.3"/>
  <cols>
    <col min="1" max="1" width="23.44140625" bestFit="1" customWidth="1"/>
    <col min="2" max="2" width="15.5546875" bestFit="1" customWidth="1"/>
    <col min="3" max="3" width="8" bestFit="1" customWidth="1"/>
    <col min="4" max="5" width="8.6640625" bestFit="1" customWidth="1"/>
    <col min="6" max="6" width="12" bestFit="1" customWidth="1"/>
  </cols>
  <sheetData>
    <row r="3" spans="1:5" x14ac:dyDescent="0.3">
      <c r="A3" s="6" t="s">
        <v>120</v>
      </c>
      <c r="B3" s="6" t="s">
        <v>115</v>
      </c>
    </row>
    <row r="4" spans="1:5" x14ac:dyDescent="0.3">
      <c r="A4" s="6" t="s">
        <v>110</v>
      </c>
      <c r="B4" t="s">
        <v>13</v>
      </c>
      <c r="C4" t="s">
        <v>31</v>
      </c>
      <c r="D4" t="s">
        <v>41</v>
      </c>
      <c r="E4" t="s">
        <v>22</v>
      </c>
    </row>
    <row r="5" spans="1:5" x14ac:dyDescent="0.3">
      <c r="A5" s="7" t="s">
        <v>121</v>
      </c>
      <c r="B5" s="14">
        <v>98933.333333333328</v>
      </c>
      <c r="C5" s="14"/>
      <c r="D5" s="14"/>
      <c r="E5" s="14">
        <v>178560</v>
      </c>
    </row>
    <row r="6" spans="1:5" x14ac:dyDescent="0.3">
      <c r="A6" s="7" t="s">
        <v>122</v>
      </c>
      <c r="B6" s="14">
        <v>303200</v>
      </c>
      <c r="C6" s="14">
        <v>1090000</v>
      </c>
      <c r="D6" s="14">
        <v>370800</v>
      </c>
      <c r="E6" s="14">
        <v>115800</v>
      </c>
    </row>
    <row r="7" spans="1:5" x14ac:dyDescent="0.3">
      <c r="A7" s="7" t="s">
        <v>123</v>
      </c>
      <c r="B7" s="14">
        <v>100533.33333333333</v>
      </c>
      <c r="C7" s="14">
        <v>275625</v>
      </c>
      <c r="D7" s="14">
        <v>386100</v>
      </c>
      <c r="E7" s="14">
        <v>307200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214D-9A37-4AE1-99B6-AC304BBD9575}">
  <dimension ref="A3:F11"/>
  <sheetViews>
    <sheetView workbookViewId="0">
      <selection activeCell="K2" sqref="K2"/>
    </sheetView>
  </sheetViews>
  <sheetFormatPr defaultRowHeight="14.4" x14ac:dyDescent="0.3"/>
  <cols>
    <col min="1" max="1" width="20.21875" bestFit="1" customWidth="1"/>
    <col min="2" max="2" width="15.5546875" bestFit="1" customWidth="1"/>
    <col min="3" max="3" width="8" bestFit="1" customWidth="1"/>
    <col min="4" max="5" width="8.6640625" bestFit="1" customWidth="1"/>
    <col min="6" max="6" width="10.77734375" bestFit="1" customWidth="1"/>
    <col min="7" max="7" width="7" bestFit="1" customWidth="1"/>
    <col min="8" max="8" width="10.6640625" bestFit="1" customWidth="1"/>
    <col min="9" max="9" width="8" bestFit="1" customWidth="1"/>
    <col min="10" max="10" width="10.77734375" bestFit="1" customWidth="1"/>
    <col min="11" max="11" width="12.109375" bestFit="1" customWidth="1"/>
    <col min="12" max="12" width="11.77734375" bestFit="1" customWidth="1"/>
    <col min="13" max="13" width="11.33203125" bestFit="1" customWidth="1"/>
    <col min="14" max="14" width="9.77734375" bestFit="1" customWidth="1"/>
    <col min="15" max="15" width="18.44140625" bestFit="1" customWidth="1"/>
    <col min="16" max="16" width="11.6640625" bestFit="1" customWidth="1"/>
    <col min="17" max="17" width="16.77734375" bestFit="1" customWidth="1"/>
    <col min="18" max="18" width="10.77734375" bestFit="1" customWidth="1"/>
  </cols>
  <sheetData>
    <row r="3" spans="1:6" x14ac:dyDescent="0.3">
      <c r="A3" s="6" t="s">
        <v>117</v>
      </c>
      <c r="B3" s="6" t="s">
        <v>115</v>
      </c>
    </row>
    <row r="4" spans="1:6" x14ac:dyDescent="0.3">
      <c r="A4" s="6" t="s">
        <v>110</v>
      </c>
      <c r="B4" t="s">
        <v>13</v>
      </c>
      <c r="C4" t="s">
        <v>31</v>
      </c>
      <c r="D4" t="s">
        <v>41</v>
      </c>
      <c r="E4" t="s">
        <v>22</v>
      </c>
      <c r="F4" t="s">
        <v>111</v>
      </c>
    </row>
    <row r="5" spans="1:6" x14ac:dyDescent="0.3">
      <c r="A5" s="7" t="s">
        <v>14</v>
      </c>
      <c r="D5">
        <v>532800</v>
      </c>
      <c r="E5">
        <v>349200</v>
      </c>
      <c r="F5">
        <v>882000</v>
      </c>
    </row>
    <row r="6" spans="1:6" x14ac:dyDescent="0.3">
      <c r="A6" s="7" t="s">
        <v>67</v>
      </c>
      <c r="C6">
        <v>1090000</v>
      </c>
      <c r="D6">
        <v>7200</v>
      </c>
      <c r="E6">
        <v>30000</v>
      </c>
      <c r="F6">
        <v>1127200</v>
      </c>
    </row>
    <row r="7" spans="1:6" x14ac:dyDescent="0.3">
      <c r="A7" s="7" t="s">
        <v>23</v>
      </c>
      <c r="B7">
        <v>165600</v>
      </c>
      <c r="C7">
        <v>17500</v>
      </c>
      <c r="E7">
        <v>427200</v>
      </c>
      <c r="F7">
        <v>610300</v>
      </c>
    </row>
    <row r="8" spans="1:6" x14ac:dyDescent="0.3">
      <c r="A8" s="7" t="s">
        <v>42</v>
      </c>
      <c r="C8">
        <v>75000</v>
      </c>
      <c r="D8">
        <v>356400</v>
      </c>
      <c r="F8">
        <v>431400</v>
      </c>
    </row>
    <row r="9" spans="1:6" x14ac:dyDescent="0.3">
      <c r="A9" s="7" t="s">
        <v>35</v>
      </c>
      <c r="B9">
        <v>280800</v>
      </c>
      <c r="C9">
        <v>70000</v>
      </c>
      <c r="D9">
        <v>950400</v>
      </c>
      <c r="E9">
        <v>468000</v>
      </c>
      <c r="F9">
        <v>1769200</v>
      </c>
    </row>
    <row r="10" spans="1:6" x14ac:dyDescent="0.3">
      <c r="A10" s="7" t="s">
        <v>18</v>
      </c>
      <c r="B10">
        <v>71200</v>
      </c>
      <c r="E10">
        <v>445200</v>
      </c>
      <c r="F10">
        <v>516400</v>
      </c>
    </row>
    <row r="11" spans="1:6" x14ac:dyDescent="0.3">
      <c r="A11" s="7" t="s">
        <v>111</v>
      </c>
      <c r="B11">
        <v>517600</v>
      </c>
      <c r="C11">
        <v>1252500</v>
      </c>
      <c r="D11">
        <v>1846800</v>
      </c>
      <c r="E11">
        <v>1719600</v>
      </c>
      <c r="F11">
        <v>5336500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17942-4B6B-4BC7-B7B6-017F0EE29CBE}">
  <dimension ref="A3:D11"/>
  <sheetViews>
    <sheetView workbookViewId="0">
      <selection activeCell="A5" sqref="A5:A10"/>
    </sheetView>
  </sheetViews>
  <sheetFormatPr defaultRowHeight="14.4" x14ac:dyDescent="0.3"/>
  <cols>
    <col min="1" max="1" width="20.21875" bestFit="1" customWidth="1"/>
    <col min="2" max="2" width="15.5546875" bestFit="1" customWidth="1"/>
    <col min="3" max="3" width="8.6640625" bestFit="1" customWidth="1"/>
    <col min="4" max="4" width="10.77734375" bestFit="1" customWidth="1"/>
    <col min="5" max="5" width="8.6640625" bestFit="1" customWidth="1"/>
    <col min="6" max="6" width="10.77734375" bestFit="1" customWidth="1"/>
  </cols>
  <sheetData>
    <row r="3" spans="1:4" x14ac:dyDescent="0.3">
      <c r="A3" s="6" t="s">
        <v>117</v>
      </c>
      <c r="B3" s="6" t="s">
        <v>115</v>
      </c>
    </row>
    <row r="4" spans="1:4" x14ac:dyDescent="0.3">
      <c r="A4" s="6" t="s">
        <v>110</v>
      </c>
      <c r="B4" t="s">
        <v>31</v>
      </c>
      <c r="C4" t="s">
        <v>41</v>
      </c>
      <c r="D4" t="s">
        <v>111</v>
      </c>
    </row>
    <row r="5" spans="1:4" x14ac:dyDescent="0.3">
      <c r="A5" s="3" t="s">
        <v>14</v>
      </c>
      <c r="B5" s="3">
        <v>537500</v>
      </c>
      <c r="C5" s="3">
        <v>532800</v>
      </c>
      <c r="D5" s="3">
        <v>1070300</v>
      </c>
    </row>
    <row r="6" spans="1:4" x14ac:dyDescent="0.3">
      <c r="A6" s="3" t="s">
        <v>67</v>
      </c>
      <c r="B6" s="3">
        <v>1090000</v>
      </c>
      <c r="C6" s="3">
        <v>7200</v>
      </c>
      <c r="D6" s="3">
        <v>1097200</v>
      </c>
    </row>
    <row r="7" spans="1:4" x14ac:dyDescent="0.3">
      <c r="A7" s="3" t="s">
        <v>23</v>
      </c>
      <c r="B7" s="3">
        <v>17500</v>
      </c>
      <c r="C7" s="3"/>
      <c r="D7" s="3">
        <v>17500</v>
      </c>
    </row>
    <row r="8" spans="1:4" x14ac:dyDescent="0.3">
      <c r="A8" s="3" t="s">
        <v>42</v>
      </c>
      <c r="B8" s="3">
        <v>270000</v>
      </c>
      <c r="C8" s="3">
        <v>356400</v>
      </c>
      <c r="D8" s="3">
        <v>626400</v>
      </c>
    </row>
    <row r="9" spans="1:4" x14ac:dyDescent="0.3">
      <c r="A9" s="3" t="s">
        <v>35</v>
      </c>
      <c r="B9" s="3">
        <v>547500</v>
      </c>
      <c r="C9" s="3">
        <v>1105200</v>
      </c>
      <c r="D9" s="3">
        <v>1652700</v>
      </c>
    </row>
    <row r="10" spans="1:4" x14ac:dyDescent="0.3">
      <c r="A10" s="3" t="s">
        <v>18</v>
      </c>
      <c r="B10" s="3"/>
      <c r="C10" s="3">
        <v>239400</v>
      </c>
      <c r="D10" s="3">
        <v>239400</v>
      </c>
    </row>
    <row r="11" spans="1:4" x14ac:dyDescent="0.3">
      <c r="A11" s="3" t="s">
        <v>111</v>
      </c>
      <c r="B11" s="3">
        <v>2462500</v>
      </c>
      <c r="C11" s="3">
        <v>2241000</v>
      </c>
      <c r="D11" s="3">
        <v>4703500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EC79F-4BFD-4EE7-8FA6-39784DF923E0}">
  <dimension ref="A3:D5"/>
  <sheetViews>
    <sheetView workbookViewId="0">
      <selection activeCell="D4" sqref="D4"/>
    </sheetView>
  </sheetViews>
  <sheetFormatPr defaultRowHeight="14.4" x14ac:dyDescent="0.3"/>
  <cols>
    <col min="1" max="1" width="22" bestFit="1" customWidth="1"/>
    <col min="2" max="2" width="15.5546875" bestFit="1" customWidth="1"/>
    <col min="3" max="4" width="12" bestFit="1" customWidth="1"/>
  </cols>
  <sheetData>
    <row r="3" spans="1:4" x14ac:dyDescent="0.3">
      <c r="B3" s="6" t="s">
        <v>115</v>
      </c>
    </row>
    <row r="4" spans="1:4" x14ac:dyDescent="0.3">
      <c r="B4" s="4" t="s">
        <v>112</v>
      </c>
      <c r="C4" s="4" t="s">
        <v>113</v>
      </c>
      <c r="D4" t="s">
        <v>111</v>
      </c>
    </row>
    <row r="5" spans="1:4" x14ac:dyDescent="0.3">
      <c r="A5" t="s">
        <v>114</v>
      </c>
      <c r="B5" s="4">
        <v>1530</v>
      </c>
      <c r="C5" s="4">
        <v>1406.6666666666667</v>
      </c>
      <c r="D5">
        <v>1477.1428571428571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Segment Revenue</vt:lpstr>
      <vt:lpstr>Revenue from the Cities</vt:lpstr>
      <vt:lpstr>Total Revenue by city</vt:lpstr>
      <vt:lpstr>Average of Monthly fee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atul negi</cp:lastModifiedBy>
  <dcterms:created xsi:type="dcterms:W3CDTF">2025-04-06T20:54:03Z</dcterms:created>
  <dcterms:modified xsi:type="dcterms:W3CDTF">2025-11-16T13:41:51Z</dcterms:modified>
</cp:coreProperties>
</file>